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montenegromontes/Dropbox/ToDo/Investigacion/Lidia/data_IoT/Android/"/>
    </mc:Choice>
  </mc:AlternateContent>
  <xr:revisionPtr revIDLastSave="0" documentId="12_ncr:500000_{407ED300-9057-954F-9CB3-ECF3D2082FA5}" xr6:coauthVersionLast="31" xr6:coauthVersionMax="31" xr10:uidLastSave="{00000000-0000-0000-0000-000000000000}"/>
  <bookViews>
    <workbookView xWindow="160" yWindow="460" windowWidth="27640" windowHeight="15960" activeTab="2" xr2:uid="{00000000-000D-0000-FFFF-FFFF00000000}"/>
  </bookViews>
  <sheets>
    <sheet name="Comsuption" sheetId="1" r:id="rId1"/>
    <sheet name="Time" sheetId="2" r:id="rId2"/>
    <sheet name="Comsuption (mJ)" sheetId="7" r:id="rId3"/>
    <sheet name="Consumption_RSA" sheetId="3" r:id="rId4"/>
    <sheet name="Time_RSA" sheetId="4" r:id="rId5"/>
    <sheet name="Time_WIFI" sheetId="5" r:id="rId6"/>
    <sheet name="Consumption_WIFI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" i="7" l="1"/>
  <c r="R3" i="7"/>
  <c r="R4" i="7"/>
  <c r="R5" i="7"/>
  <c r="R6" i="7"/>
  <c r="R7" i="7"/>
  <c r="R8" i="7"/>
  <c r="R9" i="7"/>
  <c r="R10" i="7"/>
  <c r="R11" i="7"/>
  <c r="R12" i="7"/>
  <c r="R13" i="7"/>
  <c r="R2" i="7"/>
  <c r="L2" i="7"/>
  <c r="M2" i="7"/>
  <c r="N2" i="7"/>
  <c r="O2" i="7"/>
  <c r="P2" i="7"/>
  <c r="L3" i="7"/>
  <c r="M3" i="7"/>
  <c r="N3" i="7"/>
  <c r="O3" i="7"/>
  <c r="P3" i="7"/>
  <c r="L4" i="7"/>
  <c r="M4" i="7"/>
  <c r="N4" i="7"/>
  <c r="O4" i="7"/>
  <c r="P4" i="7"/>
  <c r="L5" i="7"/>
  <c r="M5" i="7"/>
  <c r="N5" i="7"/>
  <c r="O5" i="7"/>
  <c r="P5" i="7"/>
  <c r="L6" i="7"/>
  <c r="M6" i="7"/>
  <c r="N6" i="7"/>
  <c r="O6" i="7"/>
  <c r="P6" i="7"/>
  <c r="L7" i="7"/>
  <c r="M7" i="7"/>
  <c r="N7" i="7"/>
  <c r="O7" i="7"/>
  <c r="P7" i="7"/>
  <c r="L8" i="7"/>
  <c r="M8" i="7"/>
  <c r="N8" i="7"/>
  <c r="O8" i="7"/>
  <c r="P8" i="7"/>
  <c r="L9" i="7"/>
  <c r="M9" i="7"/>
  <c r="N9" i="7"/>
  <c r="O9" i="7"/>
  <c r="P9" i="7"/>
  <c r="L10" i="7"/>
  <c r="M10" i="7"/>
  <c r="N10" i="7"/>
  <c r="O10" i="7"/>
  <c r="P10" i="7"/>
  <c r="L11" i="7"/>
  <c r="M11" i="7"/>
  <c r="N11" i="7"/>
  <c r="O11" i="7"/>
  <c r="P11" i="7"/>
  <c r="L12" i="7"/>
  <c r="M12" i="7"/>
  <c r="N12" i="7"/>
  <c r="O12" i="7"/>
  <c r="P12" i="7"/>
  <c r="L13" i="7"/>
  <c r="M13" i="7"/>
  <c r="N13" i="7"/>
  <c r="O13" i="7"/>
  <c r="P13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2" i="7"/>
  <c r="C82" i="7"/>
  <c r="D82" i="7"/>
  <c r="E82" i="7"/>
  <c r="F82" i="7"/>
  <c r="G82" i="7"/>
  <c r="H82" i="7"/>
  <c r="I82" i="7"/>
  <c r="J82" i="7"/>
  <c r="K82" i="7"/>
  <c r="B83" i="7"/>
  <c r="C83" i="7"/>
  <c r="D83" i="7"/>
  <c r="E83" i="7"/>
  <c r="F83" i="7"/>
  <c r="G83" i="7"/>
  <c r="H83" i="7"/>
  <c r="I83" i="7"/>
  <c r="J83" i="7"/>
  <c r="K83" i="7"/>
  <c r="B84" i="7"/>
  <c r="C84" i="7"/>
  <c r="D84" i="7"/>
  <c r="E84" i="7"/>
  <c r="F84" i="7"/>
  <c r="G84" i="7"/>
  <c r="H84" i="7"/>
  <c r="I84" i="7"/>
  <c r="J84" i="7"/>
  <c r="K84" i="7"/>
  <c r="B85" i="7"/>
  <c r="C85" i="7"/>
  <c r="D85" i="7"/>
  <c r="E85" i="7"/>
  <c r="F85" i="7"/>
  <c r="G85" i="7"/>
  <c r="H85" i="7"/>
  <c r="I85" i="7"/>
  <c r="J85" i="7"/>
  <c r="K85" i="7"/>
  <c r="B86" i="7"/>
  <c r="C86" i="7"/>
  <c r="D86" i="7"/>
  <c r="E86" i="7"/>
  <c r="F86" i="7"/>
  <c r="G86" i="7"/>
  <c r="H86" i="7"/>
  <c r="I86" i="7"/>
  <c r="J86" i="7"/>
  <c r="K86" i="7"/>
  <c r="B87" i="7"/>
  <c r="C87" i="7"/>
  <c r="D87" i="7"/>
  <c r="E87" i="7"/>
  <c r="F87" i="7"/>
  <c r="G87" i="7"/>
  <c r="H87" i="7"/>
  <c r="I87" i="7"/>
  <c r="J87" i="7"/>
  <c r="K87" i="7"/>
  <c r="B88" i="7"/>
  <c r="C88" i="7"/>
  <c r="D88" i="7"/>
  <c r="E88" i="7"/>
  <c r="F88" i="7"/>
  <c r="G88" i="7"/>
  <c r="H88" i="7"/>
  <c r="I88" i="7"/>
  <c r="J88" i="7"/>
  <c r="K88" i="7"/>
  <c r="B89" i="7"/>
  <c r="C89" i="7"/>
  <c r="D89" i="7"/>
  <c r="E89" i="7"/>
  <c r="F89" i="7"/>
  <c r="G89" i="7"/>
  <c r="H89" i="7"/>
  <c r="I89" i="7"/>
  <c r="J89" i="7"/>
  <c r="K89" i="7"/>
  <c r="B90" i="7"/>
  <c r="C90" i="7"/>
  <c r="D90" i="7"/>
  <c r="E90" i="7"/>
  <c r="F90" i="7"/>
  <c r="G90" i="7"/>
  <c r="H90" i="7"/>
  <c r="I90" i="7"/>
  <c r="J90" i="7"/>
  <c r="K90" i="7"/>
  <c r="C79" i="7"/>
  <c r="D79" i="7"/>
  <c r="E79" i="7"/>
  <c r="F79" i="7"/>
  <c r="G79" i="7"/>
  <c r="H79" i="7"/>
  <c r="I79" i="7"/>
  <c r="J79" i="7"/>
  <c r="K79" i="7"/>
  <c r="B79" i="7"/>
  <c r="B49" i="7"/>
  <c r="C49" i="7"/>
  <c r="D49" i="7"/>
  <c r="E49" i="7"/>
  <c r="F49" i="7"/>
  <c r="G49" i="7"/>
  <c r="H49" i="7"/>
  <c r="I49" i="7"/>
  <c r="J49" i="7"/>
  <c r="K49" i="7"/>
  <c r="B50" i="7"/>
  <c r="C50" i="7"/>
  <c r="D50" i="7"/>
  <c r="E50" i="7"/>
  <c r="F50" i="7"/>
  <c r="G50" i="7"/>
  <c r="H50" i="7"/>
  <c r="I50" i="7"/>
  <c r="J50" i="7"/>
  <c r="K50" i="7"/>
  <c r="B51" i="7"/>
  <c r="C51" i="7"/>
  <c r="D51" i="7"/>
  <c r="E51" i="7"/>
  <c r="F51" i="7"/>
  <c r="G51" i="7"/>
  <c r="H51" i="7"/>
  <c r="I51" i="7"/>
  <c r="J51" i="7"/>
  <c r="K51" i="7"/>
  <c r="B52" i="7"/>
  <c r="C52" i="7"/>
  <c r="D52" i="7"/>
  <c r="E52" i="7"/>
  <c r="F52" i="7"/>
  <c r="G52" i="7"/>
  <c r="H52" i="7"/>
  <c r="I52" i="7"/>
  <c r="J52" i="7"/>
  <c r="K52" i="7"/>
  <c r="B53" i="7"/>
  <c r="C53" i="7"/>
  <c r="D53" i="7"/>
  <c r="E53" i="7"/>
  <c r="F53" i="7"/>
  <c r="G53" i="7"/>
  <c r="H53" i="7"/>
  <c r="I53" i="7"/>
  <c r="J53" i="7"/>
  <c r="K53" i="7"/>
  <c r="B54" i="7"/>
  <c r="C54" i="7"/>
  <c r="D54" i="7"/>
  <c r="E54" i="7"/>
  <c r="F54" i="7"/>
  <c r="G54" i="7"/>
  <c r="H54" i="7"/>
  <c r="I54" i="7"/>
  <c r="J54" i="7"/>
  <c r="K54" i="7"/>
  <c r="B55" i="7"/>
  <c r="C55" i="7"/>
  <c r="D55" i="7"/>
  <c r="E55" i="7"/>
  <c r="F55" i="7"/>
  <c r="G55" i="7"/>
  <c r="H55" i="7"/>
  <c r="I55" i="7"/>
  <c r="J55" i="7"/>
  <c r="K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C48" i="7"/>
  <c r="D48" i="7"/>
  <c r="E48" i="7"/>
  <c r="F48" i="7"/>
  <c r="G48" i="7"/>
  <c r="H48" i="7"/>
  <c r="I48" i="7"/>
  <c r="J48" i="7"/>
  <c r="K48" i="7"/>
  <c r="B48" i="7"/>
  <c r="B18" i="7"/>
  <c r="C18" i="7"/>
  <c r="D18" i="7"/>
  <c r="E18" i="7"/>
  <c r="F18" i="7"/>
  <c r="G18" i="7"/>
  <c r="H18" i="7"/>
  <c r="I18" i="7"/>
  <c r="J18" i="7"/>
  <c r="K18" i="7"/>
  <c r="B19" i="7"/>
  <c r="C19" i="7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C27" i="7"/>
  <c r="D27" i="7"/>
  <c r="E27" i="7"/>
  <c r="F27" i="7"/>
  <c r="G27" i="7"/>
  <c r="H27" i="7"/>
  <c r="I27" i="7"/>
  <c r="J27" i="7"/>
  <c r="K27" i="7"/>
  <c r="B28" i="7"/>
  <c r="C28" i="7"/>
  <c r="D28" i="7"/>
  <c r="E28" i="7"/>
  <c r="F28" i="7"/>
  <c r="G28" i="7"/>
  <c r="H28" i="7"/>
  <c r="I28" i="7"/>
  <c r="J28" i="7"/>
  <c r="K28" i="7"/>
  <c r="C17" i="7"/>
  <c r="D17" i="7"/>
  <c r="E17" i="7"/>
  <c r="F17" i="7"/>
  <c r="G17" i="7"/>
  <c r="H17" i="7"/>
  <c r="I17" i="7"/>
  <c r="J17" i="7"/>
  <c r="K17" i="7"/>
  <c r="B17" i="7"/>
  <c r="B65" i="7"/>
  <c r="C65" i="7"/>
  <c r="D65" i="7"/>
  <c r="E65" i="7"/>
  <c r="F65" i="7"/>
  <c r="G65" i="7"/>
  <c r="H65" i="7"/>
  <c r="I65" i="7"/>
  <c r="J65" i="7"/>
  <c r="K65" i="7"/>
  <c r="B66" i="7"/>
  <c r="C66" i="7"/>
  <c r="D66" i="7"/>
  <c r="E66" i="7"/>
  <c r="F66" i="7"/>
  <c r="G66" i="7"/>
  <c r="H66" i="7"/>
  <c r="I66" i="7"/>
  <c r="J66" i="7"/>
  <c r="K66" i="7"/>
  <c r="B67" i="7"/>
  <c r="C67" i="7"/>
  <c r="D67" i="7"/>
  <c r="E67" i="7"/>
  <c r="F67" i="7"/>
  <c r="G67" i="7"/>
  <c r="H67" i="7"/>
  <c r="I67" i="7"/>
  <c r="J67" i="7"/>
  <c r="K67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74" i="7"/>
  <c r="C74" i="7"/>
  <c r="D74" i="7"/>
  <c r="E74" i="7"/>
  <c r="F74" i="7"/>
  <c r="G74" i="7"/>
  <c r="H74" i="7"/>
  <c r="I74" i="7"/>
  <c r="J74" i="7"/>
  <c r="K74" i="7"/>
  <c r="B75" i="7"/>
  <c r="C75" i="7"/>
  <c r="D75" i="7"/>
  <c r="E75" i="7"/>
  <c r="F75" i="7"/>
  <c r="G75" i="7"/>
  <c r="H75" i="7"/>
  <c r="I75" i="7"/>
  <c r="J75" i="7"/>
  <c r="K75" i="7"/>
  <c r="C64" i="7"/>
  <c r="D64" i="7"/>
  <c r="E64" i="7"/>
  <c r="F64" i="7"/>
  <c r="G64" i="7"/>
  <c r="H64" i="7"/>
  <c r="I64" i="7"/>
  <c r="J64" i="7"/>
  <c r="K64" i="7"/>
  <c r="B64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B40" i="7"/>
  <c r="C40" i="7"/>
  <c r="D40" i="7"/>
  <c r="E40" i="7"/>
  <c r="F40" i="7"/>
  <c r="G40" i="7"/>
  <c r="H40" i="7"/>
  <c r="I40" i="7"/>
  <c r="J40" i="7"/>
  <c r="K40" i="7"/>
  <c r="B41" i="7"/>
  <c r="C41" i="7"/>
  <c r="D41" i="7"/>
  <c r="E41" i="7"/>
  <c r="F41" i="7"/>
  <c r="G41" i="7"/>
  <c r="H41" i="7"/>
  <c r="I41" i="7"/>
  <c r="J41" i="7"/>
  <c r="K41" i="7"/>
  <c r="B42" i="7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I44" i="7"/>
  <c r="J44" i="7"/>
  <c r="K44" i="7"/>
  <c r="C33" i="7"/>
  <c r="D33" i="7"/>
  <c r="E33" i="7"/>
  <c r="F33" i="7"/>
  <c r="G33" i="7"/>
  <c r="H33" i="7"/>
  <c r="I33" i="7"/>
  <c r="J33" i="7"/>
  <c r="K33" i="7"/>
  <c r="B33" i="7"/>
  <c r="B3" i="7"/>
  <c r="C3" i="7"/>
  <c r="D3" i="7"/>
  <c r="E3" i="7"/>
  <c r="F3" i="7"/>
  <c r="G3" i="7"/>
  <c r="H3" i="7"/>
  <c r="I3" i="7"/>
  <c r="J3" i="7"/>
  <c r="K3" i="7"/>
  <c r="B4" i="7"/>
  <c r="C4" i="7"/>
  <c r="D4" i="7"/>
  <c r="E4" i="7"/>
  <c r="F4" i="7"/>
  <c r="G4" i="7"/>
  <c r="H4" i="7"/>
  <c r="I4" i="7"/>
  <c r="J4" i="7"/>
  <c r="K4" i="7"/>
  <c r="B5" i="7"/>
  <c r="C5" i="7"/>
  <c r="D5" i="7"/>
  <c r="E5" i="7"/>
  <c r="F5" i="7"/>
  <c r="G5" i="7"/>
  <c r="H5" i="7"/>
  <c r="I5" i="7"/>
  <c r="J5" i="7"/>
  <c r="K5" i="7"/>
  <c r="B6" i="7"/>
  <c r="C6" i="7"/>
  <c r="D6" i="7"/>
  <c r="E6" i="7"/>
  <c r="F6" i="7"/>
  <c r="G6" i="7"/>
  <c r="H6" i="7"/>
  <c r="I6" i="7"/>
  <c r="J6" i="7"/>
  <c r="K6" i="7"/>
  <c r="B7" i="7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C2" i="7"/>
  <c r="D2" i="7"/>
  <c r="E2" i="7"/>
  <c r="F2" i="7"/>
  <c r="G2" i="7"/>
  <c r="H2" i="7"/>
  <c r="I2" i="7"/>
  <c r="J2" i="7"/>
  <c r="K2" i="7"/>
  <c r="B2" i="7"/>
  <c r="R21" i="7" l="1"/>
  <c r="Y24" i="7" s="1"/>
  <c r="R18" i="7"/>
  <c r="Y23" i="7" s="1"/>
  <c r="R55" i="7"/>
  <c r="Z21" i="7" s="1"/>
  <c r="R51" i="7"/>
  <c r="Z20" i="7" s="1"/>
  <c r="R83" i="7"/>
  <c r="AA24" i="7" s="1"/>
  <c r="R73" i="7"/>
  <c r="AA3" i="7" s="1"/>
  <c r="Y12" i="7"/>
  <c r="Y5" i="7"/>
  <c r="Y13" i="7"/>
  <c r="R41" i="7"/>
  <c r="Z10" i="7" s="1"/>
  <c r="R38" i="7"/>
  <c r="Z13" i="7" s="1"/>
  <c r="R37" i="7"/>
  <c r="Z9" i="7" s="1"/>
  <c r="R34" i="7"/>
  <c r="Z8" i="7" s="1"/>
  <c r="R72" i="7"/>
  <c r="AA10" i="7" s="1"/>
  <c r="R69" i="7"/>
  <c r="AA13" i="7" s="1"/>
  <c r="R68" i="7"/>
  <c r="AA9" i="7" s="1"/>
  <c r="R66" i="7"/>
  <c r="AA12" i="7" s="1"/>
  <c r="R65" i="7"/>
  <c r="AA8" i="7" s="1"/>
  <c r="R17" i="7"/>
  <c r="Y19" i="7" s="1"/>
  <c r="R26" i="7"/>
  <c r="Y18" i="7" s="1"/>
  <c r="R20" i="7"/>
  <c r="Y20" i="7" s="1"/>
  <c r="R56" i="7"/>
  <c r="Z25" i="7" s="1"/>
  <c r="R54" i="7"/>
  <c r="Z17" i="7" s="1"/>
  <c r="R53" i="7"/>
  <c r="Z28" i="7" s="1"/>
  <c r="R52" i="7"/>
  <c r="Z24" i="7" s="1"/>
  <c r="R50" i="7"/>
  <c r="Z27" i="7" s="1"/>
  <c r="R49" i="7"/>
  <c r="Z23" i="7" s="1"/>
  <c r="R88" i="7"/>
  <c r="AA18" i="7" s="1"/>
  <c r="R87" i="7"/>
  <c r="AA25" i="7" s="1"/>
  <c r="R84" i="7"/>
  <c r="AA28" i="7" s="1"/>
  <c r="R82" i="7"/>
  <c r="AA20" i="7" s="1"/>
  <c r="R81" i="7"/>
  <c r="AA27" i="7" s="1"/>
  <c r="R80" i="7"/>
  <c r="AA23" i="7" s="1"/>
  <c r="R70" i="7"/>
  <c r="AA2" i="7" s="1"/>
  <c r="Y11" i="7"/>
  <c r="Y2" i="7"/>
  <c r="R67" i="7"/>
  <c r="AA5" i="7" s="1"/>
  <c r="R24" i="7"/>
  <c r="Y21" i="7" s="1"/>
  <c r="R23" i="7"/>
  <c r="Y17" i="7" s="1"/>
  <c r="R22" i="7"/>
  <c r="Y28" i="7" s="1"/>
  <c r="R19" i="7"/>
  <c r="Y27" i="7" s="1"/>
  <c r="R59" i="7"/>
  <c r="Z26" i="7" s="1"/>
  <c r="R58" i="7"/>
  <c r="Z22" i="7" s="1"/>
  <c r="R57" i="7"/>
  <c r="Z18" i="7" s="1"/>
  <c r="R89" i="7"/>
  <c r="AA22" i="7" s="1"/>
  <c r="R86" i="7"/>
  <c r="AA21" i="7" s="1"/>
  <c r="R85" i="7"/>
  <c r="AA17" i="7" s="1"/>
  <c r="Y7" i="7"/>
  <c r="Y10" i="7"/>
  <c r="Y9" i="7"/>
  <c r="R43" i="7"/>
  <c r="Z7" i="7" s="1"/>
  <c r="R39" i="7"/>
  <c r="Z2" i="7" s="1"/>
  <c r="R35" i="7"/>
  <c r="Z12" i="7" s="1"/>
  <c r="R75" i="7"/>
  <c r="AA11" i="7" s="1"/>
  <c r="R74" i="7"/>
  <c r="AA7" i="7" s="1"/>
  <c r="R71" i="7"/>
  <c r="AA6" i="7" s="1"/>
  <c r="R28" i="7"/>
  <c r="Y26" i="7" s="1"/>
  <c r="R27" i="7"/>
  <c r="Y22" i="7" s="1"/>
  <c r="R25" i="7"/>
  <c r="Y25" i="7" s="1"/>
  <c r="R90" i="7"/>
  <c r="AA26" i="7" s="1"/>
  <c r="Y4" i="7"/>
  <c r="Y3" i="7"/>
  <c r="Y6" i="7"/>
  <c r="R44" i="7"/>
  <c r="Z11" i="7" s="1"/>
  <c r="R40" i="7"/>
  <c r="Z6" i="7" s="1"/>
  <c r="R36" i="7"/>
  <c r="Z5" i="7" s="1"/>
  <c r="R48" i="7"/>
  <c r="Z19" i="7" s="1"/>
  <c r="R79" i="7"/>
  <c r="AA19" i="7" s="1"/>
  <c r="R42" i="7"/>
  <c r="Z3" i="7" s="1"/>
  <c r="R33" i="7"/>
  <c r="Z4" i="7" s="1"/>
  <c r="R64" i="7"/>
  <c r="AA4" i="7" s="1"/>
  <c r="I21" i="6"/>
  <c r="I22" i="6"/>
  <c r="I23" i="6"/>
  <c r="I20" i="6"/>
  <c r="E23" i="6"/>
  <c r="E22" i="6"/>
  <c r="E21" i="6"/>
  <c r="E20" i="6"/>
  <c r="D23" i="6"/>
  <c r="D22" i="6"/>
  <c r="D21" i="6"/>
  <c r="D20" i="6"/>
  <c r="K15" i="5"/>
  <c r="S12" i="6"/>
  <c r="S11" i="6"/>
  <c r="S10" i="6"/>
  <c r="S9" i="6"/>
  <c r="S8" i="6"/>
  <c r="S7" i="6"/>
  <c r="S6" i="6"/>
  <c r="S5" i="6"/>
  <c r="S4" i="6"/>
  <c r="S3" i="6"/>
  <c r="B15" i="5"/>
  <c r="H15" i="5"/>
  <c r="N12" i="6"/>
  <c r="N11" i="6"/>
  <c r="N10" i="6"/>
  <c r="N9" i="6"/>
  <c r="N8" i="6"/>
  <c r="N7" i="6"/>
  <c r="N6" i="6"/>
  <c r="N5" i="6"/>
  <c r="N4" i="6"/>
  <c r="N3" i="6"/>
  <c r="E15" i="5"/>
  <c r="I4" i="6"/>
  <c r="I5" i="6"/>
  <c r="I6" i="6"/>
  <c r="I7" i="6"/>
  <c r="I8" i="6"/>
  <c r="I9" i="6"/>
  <c r="I10" i="6"/>
  <c r="I11" i="6"/>
  <c r="I12" i="6"/>
  <c r="I3" i="6"/>
  <c r="I15" i="6" s="1"/>
  <c r="D12" i="6"/>
  <c r="D11" i="6"/>
  <c r="D10" i="6"/>
  <c r="D9" i="6"/>
  <c r="D8" i="6"/>
  <c r="D7" i="6"/>
  <c r="D6" i="6"/>
  <c r="D5" i="6"/>
  <c r="D4" i="6"/>
  <c r="C3" i="6"/>
  <c r="D3" i="6" s="1"/>
  <c r="D15" i="6" s="1"/>
  <c r="S15" i="6" l="1"/>
  <c r="N15" i="6"/>
  <c r="V8" i="4"/>
  <c r="V7" i="4"/>
  <c r="V3" i="4"/>
  <c r="V2" i="4"/>
  <c r="Q3" i="4" l="1"/>
  <c r="P3" i="4"/>
  <c r="P2" i="4"/>
  <c r="M13" i="4"/>
  <c r="P8" i="4" s="1"/>
  <c r="M10" i="4"/>
  <c r="M13" i="3"/>
  <c r="Q8" i="4" s="1"/>
  <c r="M10" i="3"/>
  <c r="M5" i="4"/>
  <c r="P7" i="4" s="1"/>
  <c r="M2" i="4"/>
  <c r="M5" i="3"/>
  <c r="Q7" i="4" s="1"/>
  <c r="M2" i="3"/>
  <c r="Q2" i="4" s="1"/>
  <c r="R90" i="1"/>
  <c r="AA26" i="1" s="1"/>
  <c r="AO26" i="1" s="1"/>
  <c r="R89" i="1"/>
  <c r="AA22" i="1" s="1"/>
  <c r="AO22" i="1" s="1"/>
  <c r="R88" i="1"/>
  <c r="AA18" i="1" s="1"/>
  <c r="AO18" i="1" s="1"/>
  <c r="R87" i="1"/>
  <c r="AA25" i="1" s="1"/>
  <c r="AO25" i="1" s="1"/>
  <c r="R86" i="1"/>
  <c r="AA21" i="1" s="1"/>
  <c r="AO21" i="1" s="1"/>
  <c r="R85" i="1"/>
  <c r="AA17" i="1" s="1"/>
  <c r="AO17" i="1" s="1"/>
  <c r="R84" i="1"/>
  <c r="AA28" i="1" s="1"/>
  <c r="AO28" i="1" s="1"/>
  <c r="R83" i="1"/>
  <c r="AA24" i="1" s="1"/>
  <c r="AO24" i="1" s="1"/>
  <c r="R82" i="1"/>
  <c r="AA20" i="1" s="1"/>
  <c r="AO20" i="1" s="1"/>
  <c r="R81" i="1"/>
  <c r="AA27" i="1" s="1"/>
  <c r="AO27" i="1" s="1"/>
  <c r="R80" i="1"/>
  <c r="AA23" i="1" s="1"/>
  <c r="AO23" i="1" s="1"/>
  <c r="R79" i="1"/>
  <c r="AA19" i="1" s="1"/>
  <c r="AO19" i="1" s="1"/>
  <c r="R90" i="2"/>
  <c r="AA26" i="2" s="1"/>
  <c r="R89" i="2"/>
  <c r="AA22" i="2" s="1"/>
  <c r="R88" i="2"/>
  <c r="AA18" i="2" s="1"/>
  <c r="R87" i="2"/>
  <c r="AA25" i="2" s="1"/>
  <c r="R86" i="2"/>
  <c r="AA21" i="2" s="1"/>
  <c r="R85" i="2"/>
  <c r="AA17" i="2" s="1"/>
  <c r="R84" i="2"/>
  <c r="AA28" i="2" s="1"/>
  <c r="R83" i="2"/>
  <c r="AA24" i="2" s="1"/>
  <c r="R82" i="2"/>
  <c r="AA20" i="2" s="1"/>
  <c r="R81" i="2"/>
  <c r="AA27" i="2" s="1"/>
  <c r="R80" i="2"/>
  <c r="AA23" i="2" s="1"/>
  <c r="R79" i="2"/>
  <c r="AA19" i="2" s="1"/>
  <c r="R75" i="1"/>
  <c r="AA11" i="1" s="1"/>
  <c r="AO11" i="1" s="1"/>
  <c r="R74" i="1"/>
  <c r="AA7" i="1" s="1"/>
  <c r="AO7" i="1" s="1"/>
  <c r="R73" i="1"/>
  <c r="AA3" i="1" s="1"/>
  <c r="AO3" i="1" s="1"/>
  <c r="R72" i="1"/>
  <c r="AA10" i="1" s="1"/>
  <c r="AO10" i="1" s="1"/>
  <c r="R71" i="1"/>
  <c r="AA6" i="1" s="1"/>
  <c r="AO6" i="1" s="1"/>
  <c r="R70" i="1"/>
  <c r="AA2" i="1" s="1"/>
  <c r="AO2" i="1" s="1"/>
  <c r="R69" i="1"/>
  <c r="AA13" i="1" s="1"/>
  <c r="AO13" i="1" s="1"/>
  <c r="R68" i="1"/>
  <c r="AA9" i="1" s="1"/>
  <c r="AO9" i="1" s="1"/>
  <c r="R67" i="1"/>
  <c r="AA5" i="1" s="1"/>
  <c r="AO5" i="1" s="1"/>
  <c r="R66" i="1"/>
  <c r="AA12" i="1" s="1"/>
  <c r="AO12" i="1" s="1"/>
  <c r="R65" i="1"/>
  <c r="AA8" i="1" s="1"/>
  <c r="AO8" i="1" s="1"/>
  <c r="R64" i="1"/>
  <c r="AA4" i="1" s="1"/>
  <c r="AO4" i="1" s="1"/>
  <c r="R75" i="2"/>
  <c r="AA11" i="2" s="1"/>
  <c r="R74" i="2"/>
  <c r="AA7" i="2" s="1"/>
  <c r="R73" i="2"/>
  <c r="AA3" i="2" s="1"/>
  <c r="R72" i="2"/>
  <c r="AA10" i="2" s="1"/>
  <c r="R71" i="2"/>
  <c r="AA6" i="2" s="1"/>
  <c r="R70" i="2"/>
  <c r="AA2" i="2" s="1"/>
  <c r="R69" i="2"/>
  <c r="AA13" i="2" s="1"/>
  <c r="R68" i="2"/>
  <c r="AA9" i="2" s="1"/>
  <c r="R67" i="2"/>
  <c r="AA5" i="2" s="1"/>
  <c r="R66" i="2"/>
  <c r="AA12" i="2" s="1"/>
  <c r="R65" i="2"/>
  <c r="AA8" i="2" s="1"/>
  <c r="R64" i="2"/>
  <c r="AA4" i="2" s="1"/>
  <c r="R59" i="2"/>
  <c r="Z26" i="2" s="1"/>
  <c r="R44" i="2"/>
  <c r="Z11" i="2" s="1"/>
  <c r="R28" i="2"/>
  <c r="Y26" i="2" s="1"/>
  <c r="R58" i="2"/>
  <c r="Z22" i="2" s="1"/>
  <c r="R57" i="2"/>
  <c r="Z18" i="2" s="1"/>
  <c r="R56" i="2"/>
  <c r="Z25" i="2" s="1"/>
  <c r="R55" i="2"/>
  <c r="Z21" i="2" s="1"/>
  <c r="R54" i="2"/>
  <c r="Z17" i="2" s="1"/>
  <c r="R53" i="2"/>
  <c r="Z28" i="2" s="1"/>
  <c r="R52" i="2"/>
  <c r="Z24" i="2" s="1"/>
  <c r="R51" i="2"/>
  <c r="Z20" i="2" s="1"/>
  <c r="R50" i="2"/>
  <c r="Z27" i="2" s="1"/>
  <c r="R49" i="2"/>
  <c r="Z23" i="2" s="1"/>
  <c r="R48" i="2"/>
  <c r="Z19" i="2" s="1"/>
  <c r="R43" i="2"/>
  <c r="Z7" i="2" s="1"/>
  <c r="R42" i="2"/>
  <c r="Z3" i="2" s="1"/>
  <c r="R41" i="2"/>
  <c r="Z10" i="2" s="1"/>
  <c r="R40" i="2"/>
  <c r="Z6" i="2" s="1"/>
  <c r="R39" i="2"/>
  <c r="Z2" i="2" s="1"/>
  <c r="R38" i="2"/>
  <c r="Z13" i="2" s="1"/>
  <c r="R37" i="2"/>
  <c r="Z9" i="2" s="1"/>
  <c r="R36" i="2"/>
  <c r="Z5" i="2" s="1"/>
  <c r="R35" i="2"/>
  <c r="Z12" i="2" s="1"/>
  <c r="R34" i="2"/>
  <c r="Z8" i="2" s="1"/>
  <c r="R33" i="2"/>
  <c r="Z4" i="2" s="1"/>
  <c r="R27" i="2"/>
  <c r="Y22" i="2" s="1"/>
  <c r="R26" i="2"/>
  <c r="Y18" i="2" s="1"/>
  <c r="R25" i="2"/>
  <c r="Y25" i="2" s="1"/>
  <c r="R24" i="2"/>
  <c r="Y21" i="2" s="1"/>
  <c r="R23" i="2"/>
  <c r="Y17" i="2" s="1"/>
  <c r="R22" i="2"/>
  <c r="Y28" i="2" s="1"/>
  <c r="R21" i="2"/>
  <c r="Y24" i="2" s="1"/>
  <c r="R20" i="2"/>
  <c r="Y20" i="2" s="1"/>
  <c r="R19" i="2"/>
  <c r="Y27" i="2" s="1"/>
  <c r="R18" i="2"/>
  <c r="Y23" i="2" s="1"/>
  <c r="R17" i="2"/>
  <c r="Y19" i="2" s="1"/>
  <c r="R13" i="2"/>
  <c r="Y11" i="2" s="1"/>
  <c r="R12" i="2"/>
  <c r="Y7" i="2" s="1"/>
  <c r="R11" i="2"/>
  <c r="Y3" i="2" s="1"/>
  <c r="R10" i="2"/>
  <c r="Y10" i="2" s="1"/>
  <c r="R9" i="2"/>
  <c r="Y6" i="2" s="1"/>
  <c r="R8" i="2"/>
  <c r="Y2" i="2" s="1"/>
  <c r="R7" i="2"/>
  <c r="Y13" i="2" s="1"/>
  <c r="R6" i="2"/>
  <c r="Y9" i="2" s="1"/>
  <c r="R5" i="2"/>
  <c r="Y5" i="2" s="1"/>
  <c r="R4" i="2"/>
  <c r="Y12" i="2" s="1"/>
  <c r="R3" i="2"/>
  <c r="Y8" i="2" s="1"/>
  <c r="R2" i="2"/>
  <c r="Y4" i="2" s="1"/>
  <c r="R59" i="1"/>
  <c r="Z26" i="1" s="1"/>
  <c r="AN26" i="1" s="1"/>
  <c r="R58" i="1"/>
  <c r="Z22" i="1" s="1"/>
  <c r="AN22" i="1" s="1"/>
  <c r="R57" i="1"/>
  <c r="Z18" i="1" s="1"/>
  <c r="AN18" i="1" s="1"/>
  <c r="R56" i="1"/>
  <c r="Z25" i="1" s="1"/>
  <c r="AN25" i="1" s="1"/>
  <c r="R55" i="1"/>
  <c r="Z21" i="1" s="1"/>
  <c r="AN21" i="1" s="1"/>
  <c r="R54" i="1"/>
  <c r="Z17" i="1" s="1"/>
  <c r="AN17" i="1" s="1"/>
  <c r="R53" i="1"/>
  <c r="Z28" i="1" s="1"/>
  <c r="AN28" i="1" s="1"/>
  <c r="R52" i="1"/>
  <c r="Z24" i="1" s="1"/>
  <c r="AN24" i="1" s="1"/>
  <c r="R51" i="1"/>
  <c r="Z20" i="1" s="1"/>
  <c r="AN20" i="1" s="1"/>
  <c r="R50" i="1"/>
  <c r="Z27" i="1" s="1"/>
  <c r="AN27" i="1" s="1"/>
  <c r="R49" i="1"/>
  <c r="Z23" i="1" s="1"/>
  <c r="AN23" i="1" s="1"/>
  <c r="R48" i="1"/>
  <c r="Z19" i="1" s="1"/>
  <c r="AN19" i="1" s="1"/>
  <c r="R44" i="1"/>
  <c r="Z11" i="1" s="1"/>
  <c r="AN11" i="1" s="1"/>
  <c r="R43" i="1"/>
  <c r="Z7" i="1" s="1"/>
  <c r="AN7" i="1" s="1"/>
  <c r="R42" i="1"/>
  <c r="Z3" i="1" s="1"/>
  <c r="AN3" i="1" s="1"/>
  <c r="R41" i="1"/>
  <c r="Z10" i="1" s="1"/>
  <c r="AN10" i="1" s="1"/>
  <c r="R40" i="1"/>
  <c r="Z6" i="1" s="1"/>
  <c r="AN6" i="1" s="1"/>
  <c r="R39" i="1"/>
  <c r="Z2" i="1" s="1"/>
  <c r="AN2" i="1" s="1"/>
  <c r="R38" i="1"/>
  <c r="Z13" i="1" s="1"/>
  <c r="AN13" i="1" s="1"/>
  <c r="R37" i="1"/>
  <c r="Z9" i="1" s="1"/>
  <c r="AN9" i="1" s="1"/>
  <c r="R36" i="1"/>
  <c r="Z5" i="1" s="1"/>
  <c r="AN5" i="1" s="1"/>
  <c r="R35" i="1"/>
  <c r="Z12" i="1" s="1"/>
  <c r="AN12" i="1" s="1"/>
  <c r="R34" i="1"/>
  <c r="Z8" i="1" s="1"/>
  <c r="AN8" i="1" s="1"/>
  <c r="R33" i="1"/>
  <c r="Z4" i="1" s="1"/>
  <c r="AN4" i="1" s="1"/>
  <c r="R28" i="1"/>
  <c r="Y26" i="1" s="1"/>
  <c r="AM26" i="1" s="1"/>
  <c r="R27" i="1"/>
  <c r="Y22" i="1" s="1"/>
  <c r="AM22" i="1" s="1"/>
  <c r="R26" i="1"/>
  <c r="Y18" i="1" s="1"/>
  <c r="R25" i="1"/>
  <c r="Y25" i="1" s="1"/>
  <c r="AM25" i="1" s="1"/>
  <c r="R24" i="1"/>
  <c r="Y21" i="1" s="1"/>
  <c r="AM21" i="1" s="1"/>
  <c r="R23" i="1"/>
  <c r="Y17" i="1" s="1"/>
  <c r="AM17" i="1" s="1"/>
  <c r="R22" i="1"/>
  <c r="Y28" i="1" s="1"/>
  <c r="AM28" i="1" s="1"/>
  <c r="R21" i="1"/>
  <c r="Y24" i="1" s="1"/>
  <c r="AM24" i="1" s="1"/>
  <c r="R20" i="1"/>
  <c r="Y20" i="1" s="1"/>
  <c r="AM20" i="1" s="1"/>
  <c r="R19" i="1"/>
  <c r="Y27" i="1" s="1"/>
  <c r="AM27" i="1" s="1"/>
  <c r="R18" i="1"/>
  <c r="Y23" i="1" s="1"/>
  <c r="AM23" i="1" s="1"/>
  <c r="R17" i="1"/>
  <c r="Y19" i="1" s="1"/>
  <c r="AM19" i="1" s="1"/>
  <c r="R3" i="1"/>
  <c r="Y8" i="1" s="1"/>
  <c r="AM8" i="1" s="1"/>
  <c r="R4" i="1"/>
  <c r="Y12" i="1" s="1"/>
  <c r="AM12" i="1" s="1"/>
  <c r="R5" i="1"/>
  <c r="Y5" i="1" s="1"/>
  <c r="AM5" i="1" s="1"/>
  <c r="R6" i="1"/>
  <c r="Y9" i="1" s="1"/>
  <c r="AM9" i="1" s="1"/>
  <c r="R7" i="1"/>
  <c r="Y13" i="1" s="1"/>
  <c r="AM13" i="1" s="1"/>
  <c r="R8" i="1"/>
  <c r="Y2" i="1" s="1"/>
  <c r="AM2" i="1" s="1"/>
  <c r="R9" i="1"/>
  <c r="Y6" i="1" s="1"/>
  <c r="AM6" i="1" s="1"/>
  <c r="R10" i="1"/>
  <c r="Y10" i="1" s="1"/>
  <c r="AM10" i="1" s="1"/>
  <c r="R11" i="1"/>
  <c r="Y3" i="1" s="1"/>
  <c r="AM3" i="1" s="1"/>
  <c r="R12" i="1"/>
  <c r="Y7" i="1" s="1"/>
  <c r="AM7" i="1" s="1"/>
  <c r="R13" i="1"/>
  <c r="Y11" i="1" s="1"/>
  <c r="AM11" i="1" s="1"/>
  <c r="R2" i="1"/>
  <c r="Y4" i="1" s="1"/>
  <c r="AM4" i="1" s="1"/>
</calcChain>
</file>

<file path=xl/sharedStrings.xml><?xml version="1.0" encoding="utf-8"?>
<sst xmlns="http://schemas.openxmlformats.org/spreadsheetml/2006/main" count="975" uniqueCount="144">
  <si>
    <t>Algorithm</t>
  </si>
  <si>
    <t>Time(milliseconds)</t>
  </si>
  <si>
    <t>Consumption(mW)</t>
  </si>
  <si>
    <t>E_AES_128_CBC_10_PKCS5Padding_1521404543009</t>
  </si>
  <si>
    <t>E_AES_192_CBC_10_PKCS5Padding_1521404543009</t>
  </si>
  <si>
    <t>E_AES_256_CBC_10_PKCS5Padding_1521404543009</t>
  </si>
  <si>
    <t>E_AES_128_CBC_10_ZeroBytePadding_1521404543009</t>
  </si>
  <si>
    <t>E_AES_192_CBC_10_ZeroBytePadding_1521404543009</t>
  </si>
  <si>
    <t>E_AES_256_CBC_10_ZeroBytePadding_1521404543009</t>
  </si>
  <si>
    <t>E_AES_128_ECB_10_PKCS5Padding_1521404543009</t>
  </si>
  <si>
    <t>E_AES_192_ECB_10_PKCS5Padding_1521404543009</t>
  </si>
  <si>
    <t>E_AES_256_ECB_10_PKCS5Padding_1521404543009</t>
  </si>
  <si>
    <t>E_AES_128_ECB_10_ZeroBytePadding_1521404543009</t>
  </si>
  <si>
    <t>E_AES_192_ECB_10_ZeroBytePadding_1521404543009</t>
  </si>
  <si>
    <t>E_AES_256_ECB_10_ZeroBytePadding_1521404543009</t>
  </si>
  <si>
    <t>D_AES_128_CBC_10_PKCS5Padding_1521404635390</t>
  </si>
  <si>
    <t>D_AES_192_CBC_10_PKCS5Padding_1521404635390</t>
  </si>
  <si>
    <t>D_AES_256_CBC_10_PKCS5Padding_1521404635390</t>
  </si>
  <si>
    <t>D_AES_128_CBC_10_ZeroBytePadding_1521404635390</t>
  </si>
  <si>
    <t>D_AES_192_CBC_10_ZeroBytePadding_1521404635390</t>
  </si>
  <si>
    <t>D_AES_256_CBC_10_ZeroBytePadding_1521404635390</t>
  </si>
  <si>
    <t>D_AES_128_ECB_10_PKCS5Padding_1521404635390</t>
  </si>
  <si>
    <t>D_AES_192_ECB_10_PKCS5Padding_1521404635390</t>
  </si>
  <si>
    <t>D_AES_256_ECB_10_PKCS5Padding_1521404635390</t>
  </si>
  <si>
    <t>D_AES_128_ECB_10_ZeroBytePadding_1521404635390</t>
  </si>
  <si>
    <t>D_AES_192_ECB_10_ZeroBytePadding_1521404635390</t>
  </si>
  <si>
    <t>D_AES_256_ECB_10_ZeroBytePadding_1521404635390</t>
  </si>
  <si>
    <t>E_AES_128_CBC_100_PKCS5Padding_1521404733303</t>
  </si>
  <si>
    <t>E_AES_192_CBC_100_PKCS5Padding_1521404733303</t>
  </si>
  <si>
    <t>E_AES_256_CBC_100_PKCS5Padding_1521404733303</t>
  </si>
  <si>
    <t>E_AES_128_CBC_100_ZeroBytePadding_1521404733303</t>
  </si>
  <si>
    <t>E_AES_192_CBC_100_ZeroBytePadding_1521404733303</t>
  </si>
  <si>
    <t>E_AES_256_CBC_100_ZeroBytePadding_1521404733303</t>
  </si>
  <si>
    <t>E_AES_128_ECB_100_PKCS5Padding_1521404733303</t>
  </si>
  <si>
    <t>E_AES_192_ECB_100_PKCS5Padding_1521404733303</t>
  </si>
  <si>
    <t>E_AES_256_ECB_100_PKCS5Padding_1521404733303</t>
  </si>
  <si>
    <t>E_AES_128_ECB_100_ZeroBytePadding_1521404733303</t>
  </si>
  <si>
    <t>E_AES_192_ECB_100_ZeroBytePadding_1521404733303</t>
  </si>
  <si>
    <t>E_AES_256_ECB_100_ZeroBytePadding_1521404733303</t>
  </si>
  <si>
    <t>D_AES_128_CBC_100_PKCS5Padding_1521404823324</t>
  </si>
  <si>
    <t>D_AES_192_CBC_100_PKCS5Padding_1521404823324</t>
  </si>
  <si>
    <t>D_AES_256_CBC_100_PKCS5Padding_1521404823324</t>
  </si>
  <si>
    <t>D_AES_128_CBC_100_ZeroBytePadding_1521404823324</t>
  </si>
  <si>
    <t>D_AES_192_CBC_100_ZeroBytePadding_1521404823324</t>
  </si>
  <si>
    <t>D_AES_256_CBC_100_ZeroBytePadding_1521404823324</t>
  </si>
  <si>
    <t>D_AES_128_ECB_100_PKCS5Padding_1521404823324</t>
  </si>
  <si>
    <t>D_AES_192_ECB_100_PKCS5Padding_1521404823324</t>
  </si>
  <si>
    <t>D_AES_256_ECB_100_PKCS5Padding_1521404823324</t>
  </si>
  <si>
    <t>D_AES_128_ECB_100_ZeroBytePadding_1521404823324</t>
  </si>
  <si>
    <t>D_AES_192_ECB_100_ZeroBytePadding_1521404823324</t>
  </si>
  <si>
    <t>D_AES_256_ECB_100_ZeroBytePadding_1521404823324</t>
  </si>
  <si>
    <t>AVG</t>
  </si>
  <si>
    <t>CBC</t>
  </si>
  <si>
    <t>PKCS5</t>
  </si>
  <si>
    <t>CBC PKCS5</t>
  </si>
  <si>
    <t>CBC ZERO</t>
  </si>
  <si>
    <t>ECB</t>
  </si>
  <si>
    <t>ECB PKCS5</t>
  </si>
  <si>
    <t>ECB Zero</t>
  </si>
  <si>
    <t>E_AES_128_CBC_200_PKCS5Padding_1521404916447</t>
  </si>
  <si>
    <t>E_AES_192_CBC_200_PKCS5Padding_1521404916447</t>
  </si>
  <si>
    <t>E_AES_256_CBC_200_PKCS5Padding_1521404916447</t>
  </si>
  <si>
    <t>E_AES_128_CBC_200_ZeroBytePadding_1521404916447</t>
  </si>
  <si>
    <t>E_AES_192_CBC_200_ZeroBytePadding_1521404916447</t>
  </si>
  <si>
    <t>E_AES_256_CBC_200_ZeroBytePadding_1521404916447</t>
  </si>
  <si>
    <t>E_AES_128_ECB_200_PKCS5Padding_1521404916447</t>
  </si>
  <si>
    <t>E_AES_192_ECB_200_PKCS5Padding_1521404916447</t>
  </si>
  <si>
    <t>E_AES_256_ECB_200_PKCS5Padding_1521404916447</t>
  </si>
  <si>
    <t>E_AES_128_ECB_200_ZeroBytePadding_1521404916447</t>
  </si>
  <si>
    <t>E_AES_192_ECB_200_ZeroBytePadding_1521404916447</t>
  </si>
  <si>
    <t>E_AES_256_ECB_200_ZeroBytePadding_1521404916447</t>
  </si>
  <si>
    <t>D_AES_128_CBC_200_PKCS5Padding_1521405015843</t>
  </si>
  <si>
    <t>D_AES_192_CBC_200_PKCS5Padding_1521405015843</t>
  </si>
  <si>
    <t>D_AES_256_CBC_200_PKCS5Padding_1521405015843</t>
  </si>
  <si>
    <t>D_AES_128_CBC_200_ZeroBytePadding_1521405015843</t>
  </si>
  <si>
    <t>D_AES_192_CBC_200_ZeroBytePadding_1521405015843</t>
  </si>
  <si>
    <t>D_AES_256_CBC_200_ZeroBytePadding_1521405015843</t>
  </si>
  <si>
    <t>D_AES_128_ECB_200_PKCS5Padding_1521405015843</t>
  </si>
  <si>
    <t>D_AES_192_ECB_200_PKCS5Padding_1521405015843</t>
  </si>
  <si>
    <t>D_AES_256_ECB_200_PKCS5Padding_1521405015843</t>
  </si>
  <si>
    <t>D_AES_128_ECB_200_ZeroBytePadding_1521405015843</t>
  </si>
  <si>
    <t>D_AES_192_ECB_200_ZeroBytePadding_1521405015843</t>
  </si>
  <si>
    <t>D_AES_256_ECB_200_ZeroBytePadding_1521405015843</t>
  </si>
  <si>
    <t>ZERO</t>
  </si>
  <si>
    <t>DECRYPT</t>
  </si>
  <si>
    <t>ENCRYPT</t>
  </si>
  <si>
    <t>mW</t>
  </si>
  <si>
    <t>E_RSA_512_NONE_10_NoPadding_1521405113235</t>
  </si>
  <si>
    <t>D_RSA_512_NONE_10_NoPadding_1521405132177</t>
  </si>
  <si>
    <t>E_RSA_512_NONE_100_NoPadding_1521405149456</t>
  </si>
  <si>
    <t>D_RSA_512_NONE_100_NoPadding_1521405167474</t>
  </si>
  <si>
    <t>Time</t>
  </si>
  <si>
    <t>Consupmtion</t>
  </si>
  <si>
    <t>Encryption</t>
  </si>
  <si>
    <t>Decryption</t>
  </si>
  <si>
    <t>mS</t>
  </si>
  <si>
    <t>mJ</t>
  </si>
  <si>
    <t>Consumption</t>
  </si>
  <si>
    <t>Time (mS)</t>
  </si>
  <si>
    <t>Consumption (mJ)</t>
  </si>
  <si>
    <t>Data length (bytes)</t>
  </si>
  <si>
    <t>Consumption Wifi(mW)</t>
  </si>
  <si>
    <t>Consumptiom Processador(mW)</t>
  </si>
  <si>
    <t>W_S_10_1521405775789</t>
  </si>
  <si>
    <t>W_S_10_1521405938103</t>
  </si>
  <si>
    <t>W_S_10_1521405984993</t>
  </si>
  <si>
    <t>W_S_10_1521405993139</t>
  </si>
  <si>
    <t>W_S_10_1521406002101</t>
  </si>
  <si>
    <t>W_S_10_1521406012051</t>
  </si>
  <si>
    <t>W_S_10_1521406023314</t>
  </si>
  <si>
    <t>W_S_10_1521408917231</t>
  </si>
  <si>
    <t>W_S_10_1521408925988</t>
  </si>
  <si>
    <t>W_S_10_1521408933883</t>
  </si>
  <si>
    <t>W_S_100_1521405235867</t>
  </si>
  <si>
    <t>W_S_100_1521405949124</t>
  </si>
  <si>
    <t>W_S_100_1521406033242</t>
  </si>
  <si>
    <t>W_S_100_1521406049846</t>
  </si>
  <si>
    <t>W_S_100_1521406057933</t>
  </si>
  <si>
    <t>W_S_100_1521406068787</t>
  </si>
  <si>
    <t>W_S_100_1521406079522</t>
  </si>
  <si>
    <t>W_S_100_1521408943436</t>
  </si>
  <si>
    <t>W_S_100_1521408951284</t>
  </si>
  <si>
    <t>W_S_100_1521408959214</t>
  </si>
  <si>
    <t>W_S_1000_1521405248051</t>
  </si>
  <si>
    <t>W_S_1000_1521405961550</t>
  </si>
  <si>
    <t>W_S_1000_1521406090104</t>
  </si>
  <si>
    <t>W_S_1000_1521406108791</t>
  </si>
  <si>
    <t>W_S_1000_1521406121180</t>
  </si>
  <si>
    <t>W_S_1000_1521406131652</t>
  </si>
  <si>
    <t>W_S_1000_1521406141449</t>
  </si>
  <si>
    <t>W_S_1000_1521408968906</t>
  </si>
  <si>
    <t>W_S_1000_1521408976880</t>
  </si>
  <si>
    <t>W_S_1000_1521408984827</t>
  </si>
  <si>
    <t>W_S_2000_1521405258690</t>
  </si>
  <si>
    <t>W_S_2000_1521405973605</t>
  </si>
  <si>
    <t>W_S_2000_1521406156227</t>
  </si>
  <si>
    <t>W_S_2000_1521406166133</t>
  </si>
  <si>
    <t>W_S_2000_1521406174618</t>
  </si>
  <si>
    <t>W_S_2000_1521406186231</t>
  </si>
  <si>
    <t>W_S_2000_1521406195701</t>
  </si>
  <si>
    <t>W_S_2000_1521408995019</t>
  </si>
  <si>
    <t>W_S_2000_1521409010407</t>
  </si>
  <si>
    <t>W_S_2000_1521409019313</t>
  </si>
  <si>
    <t>Consumption(mJ)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</si>
</sst>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0" fontId="4" fillId="0" borderId="0" xfId="0" applyFont="1"/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3" borderId="0" xfId="0" applyFont="1" applyFill="1"/>
    <xf numFmtId="2" fontId="0" fillId="0" borderId="0" xfId="0" applyNumberFormat="1"/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5" borderId="8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0"/>
  <sheetViews>
    <sheetView topLeftCell="AB1" workbookViewId="0">
      <selection activeCell="AN2" sqref="AN2"/>
    </sheetView>
  </sheetViews>
  <sheetFormatPr baseColWidth="10" defaultRowHeight="16" x14ac:dyDescent="0.2"/>
  <cols>
    <col min="1" max="1" width="17.83203125" customWidth="1"/>
    <col min="25" max="26" width="12.6640625" bestFit="1" customWidth="1"/>
  </cols>
  <sheetData>
    <row r="1" spans="1:41" x14ac:dyDescent="0.2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/>
      <c r="M1" s="1"/>
      <c r="N1" s="1"/>
      <c r="O1" s="1"/>
      <c r="P1" s="1"/>
      <c r="R1" s="4" t="s">
        <v>51</v>
      </c>
      <c r="V1" s="2" t="s">
        <v>85</v>
      </c>
      <c r="W1" t="s">
        <v>86</v>
      </c>
      <c r="Y1" s="8">
        <v>10</v>
      </c>
      <c r="Z1" s="8">
        <v>100</v>
      </c>
      <c r="AA1" s="8">
        <v>200</v>
      </c>
      <c r="AC1" s="2" t="s">
        <v>85</v>
      </c>
      <c r="AD1" t="s">
        <v>95</v>
      </c>
      <c r="AF1" s="8">
        <v>10</v>
      </c>
      <c r="AG1" s="8">
        <v>100</v>
      </c>
      <c r="AH1" s="8">
        <v>200</v>
      </c>
      <c r="AJ1" s="2" t="s">
        <v>85</v>
      </c>
      <c r="AK1" t="s">
        <v>96</v>
      </c>
      <c r="AM1" s="8">
        <v>10</v>
      </c>
      <c r="AN1" s="8">
        <v>100</v>
      </c>
      <c r="AO1" s="8">
        <v>200</v>
      </c>
    </row>
    <row r="2" spans="1:41" x14ac:dyDescent="0.2">
      <c r="A2" t="s">
        <v>3</v>
      </c>
      <c r="B2">
        <v>2</v>
      </c>
      <c r="C2">
        <v>0</v>
      </c>
      <c r="D2">
        <v>1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R2" s="10">
        <f>AVERAGE(B2:Q2)</f>
        <v>0.66666666666666663</v>
      </c>
      <c r="S2" s="28" t="s">
        <v>54</v>
      </c>
      <c r="V2" s="26">
        <v>128</v>
      </c>
      <c r="W2" s="27" t="s">
        <v>56</v>
      </c>
      <c r="X2" s="7" t="s">
        <v>53</v>
      </c>
      <c r="Y2" s="17">
        <f>R8</f>
        <v>0.2</v>
      </c>
      <c r="Z2" s="18">
        <f>R39</f>
        <v>6.6666666666666666E-2</v>
      </c>
      <c r="AA2" s="18">
        <f>R70</f>
        <v>0.46666666666666667</v>
      </c>
      <c r="AC2" s="26">
        <v>128</v>
      </c>
      <c r="AD2" s="27" t="s">
        <v>56</v>
      </c>
      <c r="AE2" s="7" t="s">
        <v>53</v>
      </c>
      <c r="AF2" s="18">
        <v>61.7</v>
      </c>
      <c r="AG2" s="18">
        <v>62.9</v>
      </c>
      <c r="AH2" s="18">
        <v>80.8</v>
      </c>
      <c r="AJ2" s="26">
        <v>128</v>
      </c>
      <c r="AK2" s="27" t="s">
        <v>56</v>
      </c>
      <c r="AL2" s="7" t="s">
        <v>53</v>
      </c>
      <c r="AM2" s="18">
        <f>Y2*AF2</f>
        <v>12.340000000000002</v>
      </c>
      <c r="AN2" s="18">
        <f t="shared" ref="AN2:AO2" si="0">Z2*AG2</f>
        <v>4.1933333333333334</v>
      </c>
      <c r="AO2" s="18">
        <f t="shared" si="0"/>
        <v>37.706666666666663</v>
      </c>
    </row>
    <row r="3" spans="1:41" x14ac:dyDescent="0.2">
      <c r="A3" t="s">
        <v>4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 s="11">
        <f>AVERAGE(B3:Q3)</f>
        <v>0.13333333333333333</v>
      </c>
      <c r="S3" s="29"/>
      <c r="V3" s="26"/>
      <c r="W3" s="27"/>
      <c r="X3" s="7" t="s">
        <v>83</v>
      </c>
      <c r="Y3" s="18">
        <f>R11</f>
        <v>0.13333333333333333</v>
      </c>
      <c r="Z3" s="18">
        <f>R42</f>
        <v>0.53333333333333333</v>
      </c>
      <c r="AA3" s="18">
        <f>R73</f>
        <v>0.66666666666666663</v>
      </c>
      <c r="AC3" s="26"/>
      <c r="AD3" s="27"/>
      <c r="AE3" s="7" t="s">
        <v>83</v>
      </c>
      <c r="AF3" s="18">
        <v>71.7</v>
      </c>
      <c r="AG3" s="18">
        <v>63.8</v>
      </c>
      <c r="AH3" s="18">
        <v>71.5</v>
      </c>
      <c r="AJ3" s="26"/>
      <c r="AK3" s="27"/>
      <c r="AL3" s="7" t="s">
        <v>83</v>
      </c>
      <c r="AM3" s="18">
        <f t="shared" ref="AM3:AM13" si="1">Y3*AF3</f>
        <v>9.56</v>
      </c>
      <c r="AN3" s="18">
        <f t="shared" ref="AN3:AN13" si="2">Z3*AG3</f>
        <v>34.026666666666664</v>
      </c>
      <c r="AO3" s="18">
        <f t="shared" ref="AO3:AO13" si="3">AA3*AH3</f>
        <v>47.666666666666664</v>
      </c>
    </row>
    <row r="4" spans="1:41" x14ac:dyDescent="0.2">
      <c r="A4" t="s">
        <v>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 s="12">
        <f>AVERAGE(B4:Q4)</f>
        <v>6.6666666666666666E-2</v>
      </c>
      <c r="S4" s="30"/>
      <c r="V4" s="26"/>
      <c r="W4" s="27" t="s">
        <v>52</v>
      </c>
      <c r="X4" s="7" t="s">
        <v>53</v>
      </c>
      <c r="Y4" s="18">
        <f>R2</f>
        <v>0.66666666666666663</v>
      </c>
      <c r="Z4" s="18">
        <f>R33</f>
        <v>0.6</v>
      </c>
      <c r="AA4" s="18">
        <f>R64</f>
        <v>0.66666666666666663</v>
      </c>
      <c r="AC4" s="26"/>
      <c r="AD4" s="27" t="s">
        <v>52</v>
      </c>
      <c r="AE4" s="7" t="s">
        <v>53</v>
      </c>
      <c r="AF4" s="18">
        <v>54.4</v>
      </c>
      <c r="AG4" s="18">
        <v>55.2</v>
      </c>
      <c r="AH4" s="18">
        <v>49</v>
      </c>
      <c r="AJ4" s="26"/>
      <c r="AK4" s="27" t="s">
        <v>52</v>
      </c>
      <c r="AL4" s="7" t="s">
        <v>53</v>
      </c>
      <c r="AM4" s="18">
        <f t="shared" si="1"/>
        <v>36.266666666666666</v>
      </c>
      <c r="AN4" s="18">
        <f t="shared" si="2"/>
        <v>33.119999999999997</v>
      </c>
      <c r="AO4" s="18">
        <f t="shared" si="3"/>
        <v>32.666666666666664</v>
      </c>
    </row>
    <row r="5" spans="1:41" x14ac:dyDescent="0.2">
      <c r="A5" t="s">
        <v>6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 s="10">
        <f>AVERAGE(B5:Q5)</f>
        <v>0.2</v>
      </c>
      <c r="S5" s="28" t="s">
        <v>55</v>
      </c>
      <c r="V5" s="26"/>
      <c r="W5" s="27"/>
      <c r="X5" s="7" t="s">
        <v>83</v>
      </c>
      <c r="Y5" s="18">
        <f>R5</f>
        <v>0.2</v>
      </c>
      <c r="Z5" s="18">
        <f>R36</f>
        <v>0.53333333333333333</v>
      </c>
      <c r="AA5" s="18">
        <f>R67</f>
        <v>0.26666666666666666</v>
      </c>
      <c r="AC5" s="26"/>
      <c r="AD5" s="27"/>
      <c r="AE5" s="7" t="s">
        <v>83</v>
      </c>
      <c r="AF5" s="18">
        <v>65.3</v>
      </c>
      <c r="AG5" s="18">
        <v>77.599999999999994</v>
      </c>
      <c r="AH5" s="18">
        <v>78.7</v>
      </c>
      <c r="AJ5" s="26"/>
      <c r="AK5" s="27"/>
      <c r="AL5" s="7" t="s">
        <v>83</v>
      </c>
      <c r="AM5" s="18">
        <f t="shared" si="1"/>
        <v>13.06</v>
      </c>
      <c r="AN5" s="18">
        <f t="shared" si="2"/>
        <v>41.386666666666663</v>
      </c>
      <c r="AO5" s="18">
        <f t="shared" si="3"/>
        <v>20.986666666666668</v>
      </c>
    </row>
    <row r="6" spans="1:41" x14ac:dyDescent="0.2">
      <c r="A6" t="s">
        <v>7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R6" s="11">
        <f>AVERAGE(B6:Q6)</f>
        <v>0.33333333333333331</v>
      </c>
      <c r="S6" s="29"/>
      <c r="V6" s="26">
        <v>192</v>
      </c>
      <c r="W6" s="27" t="s">
        <v>56</v>
      </c>
      <c r="X6" s="7" t="s">
        <v>53</v>
      </c>
      <c r="Y6" s="18">
        <f>R9</f>
        <v>6.6666666666666666E-2</v>
      </c>
      <c r="Z6" s="18">
        <f>R40</f>
        <v>0.4</v>
      </c>
      <c r="AA6" s="18">
        <f>R71</f>
        <v>0.33333333333333331</v>
      </c>
      <c r="AC6" s="26">
        <v>192</v>
      </c>
      <c r="AD6" s="27" t="s">
        <v>56</v>
      </c>
      <c r="AE6" s="7" t="s">
        <v>53</v>
      </c>
      <c r="AF6" s="18">
        <v>64.099999999999994</v>
      </c>
      <c r="AG6" s="18">
        <v>62.5</v>
      </c>
      <c r="AH6" s="18">
        <v>60.8</v>
      </c>
      <c r="AJ6" s="26">
        <v>192</v>
      </c>
      <c r="AK6" s="27" t="s">
        <v>56</v>
      </c>
      <c r="AL6" s="7" t="s">
        <v>53</v>
      </c>
      <c r="AM6" s="18">
        <f t="shared" si="1"/>
        <v>4.2733333333333325</v>
      </c>
      <c r="AN6" s="18">
        <f t="shared" si="2"/>
        <v>25</v>
      </c>
      <c r="AO6" s="18">
        <f t="shared" si="3"/>
        <v>20.266666666666666</v>
      </c>
    </row>
    <row r="7" spans="1:41" x14ac:dyDescent="0.2">
      <c r="A7" t="s">
        <v>8</v>
      </c>
      <c r="B7">
        <v>0</v>
      </c>
      <c r="C7">
        <v>0</v>
      </c>
      <c r="D7">
        <v>0</v>
      </c>
      <c r="E7">
        <v>2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R7" s="12">
        <f>AVERAGE(B7:Q7)</f>
        <v>0.26666666666666666</v>
      </c>
      <c r="S7" s="30"/>
      <c r="V7" s="26"/>
      <c r="W7" s="27"/>
      <c r="X7" s="7" t="s">
        <v>83</v>
      </c>
      <c r="Y7" s="18">
        <f>R12</f>
        <v>0</v>
      </c>
      <c r="Z7" s="18">
        <f>R43</f>
        <v>0.4</v>
      </c>
      <c r="AA7" s="18">
        <f>R74</f>
        <v>0.46666666666666667</v>
      </c>
      <c r="AC7" s="26"/>
      <c r="AD7" s="27"/>
      <c r="AE7" s="7" t="s">
        <v>83</v>
      </c>
      <c r="AF7" s="18">
        <v>65.2</v>
      </c>
      <c r="AG7" s="18">
        <v>70.8</v>
      </c>
      <c r="AH7" s="18">
        <v>61.8</v>
      </c>
      <c r="AJ7" s="26"/>
      <c r="AK7" s="27"/>
      <c r="AL7" s="7" t="s">
        <v>83</v>
      </c>
      <c r="AM7" s="18">
        <f t="shared" si="1"/>
        <v>0</v>
      </c>
      <c r="AN7" s="18">
        <f t="shared" si="2"/>
        <v>28.32</v>
      </c>
      <c r="AO7" s="18">
        <f t="shared" si="3"/>
        <v>28.84</v>
      </c>
    </row>
    <row r="8" spans="1:41" x14ac:dyDescent="0.2">
      <c r="A8" t="s">
        <v>9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 s="10">
        <f>AVERAGE(B8:Q8)</f>
        <v>0.2</v>
      </c>
      <c r="S8" s="28" t="s">
        <v>57</v>
      </c>
      <c r="V8" s="26"/>
      <c r="W8" s="27" t="s">
        <v>52</v>
      </c>
      <c r="X8" s="7" t="s">
        <v>53</v>
      </c>
      <c r="Y8" s="18">
        <f>R3</f>
        <v>0.13333333333333333</v>
      </c>
      <c r="Z8" s="18">
        <f>R34</f>
        <v>0.46666666666666667</v>
      </c>
      <c r="AA8" s="18">
        <f>R65</f>
        <v>0.46666666666666667</v>
      </c>
      <c r="AC8" s="26"/>
      <c r="AD8" s="27" t="s">
        <v>52</v>
      </c>
      <c r="AE8" s="7" t="s">
        <v>53</v>
      </c>
      <c r="AF8" s="18">
        <v>59</v>
      </c>
      <c r="AG8" s="18">
        <v>68.2</v>
      </c>
      <c r="AH8" s="18">
        <v>76.5</v>
      </c>
      <c r="AJ8" s="26"/>
      <c r="AK8" s="27" t="s">
        <v>52</v>
      </c>
      <c r="AL8" s="7" t="s">
        <v>53</v>
      </c>
      <c r="AM8" s="18">
        <f t="shared" si="1"/>
        <v>7.8666666666666663</v>
      </c>
      <c r="AN8" s="18">
        <f t="shared" si="2"/>
        <v>31.826666666666668</v>
      </c>
      <c r="AO8" s="18">
        <f t="shared" si="3"/>
        <v>35.700000000000003</v>
      </c>
    </row>
    <row r="9" spans="1:41" x14ac:dyDescent="0.2">
      <c r="A9" t="s">
        <v>10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 s="11">
        <f>AVERAGE(B9:Q9)</f>
        <v>6.6666666666666666E-2</v>
      </c>
      <c r="S9" s="29"/>
      <c r="V9" s="26"/>
      <c r="W9" s="27"/>
      <c r="X9" s="7" t="s">
        <v>83</v>
      </c>
      <c r="Y9" s="18">
        <f>R6</f>
        <v>0.33333333333333331</v>
      </c>
      <c r="Z9" s="18">
        <f>R37</f>
        <v>0.6</v>
      </c>
      <c r="AA9" s="18">
        <f>R68</f>
        <v>0.46666666666666667</v>
      </c>
      <c r="AC9" s="26"/>
      <c r="AD9" s="27"/>
      <c r="AE9" s="7" t="s">
        <v>83</v>
      </c>
      <c r="AF9" s="18">
        <v>74.2</v>
      </c>
      <c r="AG9" s="18">
        <v>63.4</v>
      </c>
      <c r="AH9" s="18">
        <v>66.8</v>
      </c>
      <c r="AJ9" s="26"/>
      <c r="AK9" s="27"/>
      <c r="AL9" s="7" t="s">
        <v>83</v>
      </c>
      <c r="AM9" s="18">
        <f t="shared" si="1"/>
        <v>24.733333333333334</v>
      </c>
      <c r="AN9" s="18">
        <f t="shared" si="2"/>
        <v>38.04</v>
      </c>
      <c r="AO9" s="18">
        <f t="shared" si="3"/>
        <v>31.173333333333332</v>
      </c>
    </row>
    <row r="10" spans="1:41" x14ac:dyDescent="0.2">
      <c r="A10" t="s">
        <v>11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R10" s="12">
        <f>AVERAGE(B10:Q10)</f>
        <v>0.2</v>
      </c>
      <c r="S10" s="30"/>
      <c r="V10" s="26">
        <v>256</v>
      </c>
      <c r="W10" s="27" t="s">
        <v>56</v>
      </c>
      <c r="X10" s="7" t="s">
        <v>53</v>
      </c>
      <c r="Y10" s="18">
        <f>R10</f>
        <v>0.2</v>
      </c>
      <c r="Z10" s="18">
        <f>R41</f>
        <v>0.6</v>
      </c>
      <c r="AA10" s="18">
        <f>R72</f>
        <v>0.4</v>
      </c>
      <c r="AC10" s="26">
        <v>256</v>
      </c>
      <c r="AD10" s="27" t="s">
        <v>56</v>
      </c>
      <c r="AE10" s="7" t="s">
        <v>53</v>
      </c>
      <c r="AF10" s="18">
        <v>72.099999999999994</v>
      </c>
      <c r="AG10" s="18">
        <v>61.8</v>
      </c>
      <c r="AH10" s="18">
        <v>64.5</v>
      </c>
      <c r="AJ10" s="26">
        <v>256</v>
      </c>
      <c r="AK10" s="27" t="s">
        <v>56</v>
      </c>
      <c r="AL10" s="7" t="s">
        <v>53</v>
      </c>
      <c r="AM10" s="18">
        <f t="shared" si="1"/>
        <v>14.42</v>
      </c>
      <c r="AN10" s="18">
        <f t="shared" si="2"/>
        <v>37.08</v>
      </c>
      <c r="AO10" s="18">
        <f t="shared" si="3"/>
        <v>25.8</v>
      </c>
    </row>
    <row r="11" spans="1:41" x14ac:dyDescent="0.2">
      <c r="A11" t="s">
        <v>12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R11" s="10">
        <f>AVERAGE(B11:Q11)</f>
        <v>0.13333333333333333</v>
      </c>
      <c r="S11" s="28" t="s">
        <v>58</v>
      </c>
      <c r="V11" s="26"/>
      <c r="W11" s="27"/>
      <c r="X11" s="7" t="s">
        <v>83</v>
      </c>
      <c r="Y11" s="18">
        <f>R13</f>
        <v>6.6666666666666666E-2</v>
      </c>
      <c r="Z11" s="18">
        <f>R44</f>
        <v>0.6</v>
      </c>
      <c r="AA11" s="18">
        <f>R75</f>
        <v>1</v>
      </c>
      <c r="AC11" s="26"/>
      <c r="AD11" s="27"/>
      <c r="AE11" s="7" t="s">
        <v>83</v>
      </c>
      <c r="AF11" s="18">
        <v>71</v>
      </c>
      <c r="AG11" s="18">
        <v>56.9</v>
      </c>
      <c r="AH11" s="18">
        <v>73.8</v>
      </c>
      <c r="AJ11" s="26"/>
      <c r="AK11" s="27"/>
      <c r="AL11" s="7" t="s">
        <v>83</v>
      </c>
      <c r="AM11" s="18">
        <f t="shared" si="1"/>
        <v>4.7333333333333334</v>
      </c>
      <c r="AN11" s="18">
        <f t="shared" si="2"/>
        <v>34.14</v>
      </c>
      <c r="AO11" s="18">
        <f t="shared" si="3"/>
        <v>73.8</v>
      </c>
    </row>
    <row r="12" spans="1:41" x14ac:dyDescent="0.2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 s="11">
        <f>AVERAGE(B12:Q12)</f>
        <v>0</v>
      </c>
      <c r="S12" s="29"/>
      <c r="V12" s="26"/>
      <c r="W12" s="27" t="s">
        <v>52</v>
      </c>
      <c r="X12" s="7" t="s">
        <v>53</v>
      </c>
      <c r="Y12" s="18">
        <f>R4</f>
        <v>6.6666666666666666E-2</v>
      </c>
      <c r="Z12" s="18">
        <f>R35</f>
        <v>0.2</v>
      </c>
      <c r="AA12" s="18">
        <f>R66</f>
        <v>0.53333333333333333</v>
      </c>
      <c r="AC12" s="26"/>
      <c r="AD12" s="27" t="s">
        <v>52</v>
      </c>
      <c r="AE12" s="7" t="s">
        <v>53</v>
      </c>
      <c r="AF12" s="18">
        <v>57.2</v>
      </c>
      <c r="AG12" s="18">
        <v>61.9</v>
      </c>
      <c r="AH12" s="18">
        <v>70.400000000000006</v>
      </c>
      <c r="AJ12" s="26"/>
      <c r="AK12" s="27" t="s">
        <v>52</v>
      </c>
      <c r="AL12" s="7" t="s">
        <v>53</v>
      </c>
      <c r="AM12" s="18">
        <f t="shared" si="1"/>
        <v>3.8133333333333335</v>
      </c>
      <c r="AN12" s="18">
        <f t="shared" si="2"/>
        <v>12.38</v>
      </c>
      <c r="AO12" s="18">
        <f t="shared" si="3"/>
        <v>37.546666666666667</v>
      </c>
    </row>
    <row r="13" spans="1:41" x14ac:dyDescent="0.2">
      <c r="A13" t="s">
        <v>14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 s="12">
        <f>AVERAGE(B13:Q13)</f>
        <v>6.6666666666666666E-2</v>
      </c>
      <c r="S13" s="30"/>
      <c r="V13" s="26"/>
      <c r="W13" s="27"/>
      <c r="X13" s="7" t="s">
        <v>83</v>
      </c>
      <c r="Y13" s="18">
        <f>R7</f>
        <v>0.26666666666666666</v>
      </c>
      <c r="Z13" s="18">
        <f>R38</f>
        <v>0.6</v>
      </c>
      <c r="AA13" s="18">
        <f>R69</f>
        <v>0.4</v>
      </c>
      <c r="AC13" s="26"/>
      <c r="AD13" s="27"/>
      <c r="AE13" s="7" t="s">
        <v>83</v>
      </c>
      <c r="AF13" s="18">
        <v>64.5</v>
      </c>
      <c r="AG13" s="18">
        <v>60.3</v>
      </c>
      <c r="AH13" s="18">
        <v>61.9</v>
      </c>
      <c r="AJ13" s="26"/>
      <c r="AK13" s="27"/>
      <c r="AL13" s="7" t="s">
        <v>83</v>
      </c>
      <c r="AM13" s="18">
        <f t="shared" si="1"/>
        <v>17.2</v>
      </c>
      <c r="AN13" s="18">
        <f t="shared" si="2"/>
        <v>36.18</v>
      </c>
      <c r="AO13" s="18">
        <f t="shared" si="3"/>
        <v>24.76</v>
      </c>
    </row>
    <row r="14" spans="1:41" x14ac:dyDescent="0.2">
      <c r="AF14" s="5"/>
      <c r="AG14" s="5"/>
      <c r="AH14" s="5"/>
    </row>
    <row r="15" spans="1:41" x14ac:dyDescent="0.2">
      <c r="AF15" s="5"/>
      <c r="AG15" s="5"/>
      <c r="AH15" s="5"/>
    </row>
    <row r="16" spans="1:41" x14ac:dyDescent="0.2">
      <c r="A16" s="1" t="s">
        <v>0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/>
      <c r="M16" s="1"/>
      <c r="N16" s="1"/>
      <c r="O16" s="1"/>
      <c r="P16" s="1"/>
      <c r="R16" s="4" t="s">
        <v>51</v>
      </c>
      <c r="V16" s="2" t="s">
        <v>84</v>
      </c>
      <c r="W16" t="s">
        <v>86</v>
      </c>
      <c r="Y16" s="8">
        <v>10</v>
      </c>
      <c r="Z16" s="8">
        <v>100</v>
      </c>
      <c r="AA16" s="8">
        <v>200</v>
      </c>
      <c r="AC16" s="2" t="s">
        <v>84</v>
      </c>
      <c r="AD16" t="s">
        <v>95</v>
      </c>
      <c r="AF16" s="8">
        <v>10</v>
      </c>
      <c r="AG16" s="8">
        <v>100</v>
      </c>
      <c r="AH16" s="8">
        <v>200</v>
      </c>
      <c r="AJ16" s="2" t="s">
        <v>84</v>
      </c>
      <c r="AK16" t="s">
        <v>96</v>
      </c>
      <c r="AM16" s="8">
        <v>10</v>
      </c>
      <c r="AN16" s="8">
        <v>100</v>
      </c>
      <c r="AO16" s="8">
        <v>200</v>
      </c>
    </row>
    <row r="17" spans="1:41" x14ac:dyDescent="0.2">
      <c r="A17" t="s">
        <v>15</v>
      </c>
      <c r="B17">
        <v>0</v>
      </c>
      <c r="C17">
        <v>2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R17" s="10">
        <f>AVERAGE(B17:Q17)</f>
        <v>0.5</v>
      </c>
      <c r="S17" s="28" t="s">
        <v>54</v>
      </c>
      <c r="V17" s="26">
        <v>128</v>
      </c>
      <c r="W17" s="27" t="s">
        <v>56</v>
      </c>
      <c r="X17" s="7" t="s">
        <v>53</v>
      </c>
      <c r="Y17" s="18">
        <f>R23</f>
        <v>0.3</v>
      </c>
      <c r="Z17" s="18">
        <f>R54</f>
        <v>0.6</v>
      </c>
      <c r="AA17" s="18">
        <f>R85</f>
        <v>0.6</v>
      </c>
      <c r="AC17" s="26">
        <v>128</v>
      </c>
      <c r="AD17" s="27" t="s">
        <v>56</v>
      </c>
      <c r="AE17" s="7" t="s">
        <v>53</v>
      </c>
      <c r="AF17" s="18">
        <v>64.8</v>
      </c>
      <c r="AG17" s="18">
        <v>66</v>
      </c>
      <c r="AH17" s="18">
        <v>61.2</v>
      </c>
      <c r="AJ17" s="26">
        <v>128</v>
      </c>
      <c r="AK17" s="27" t="s">
        <v>56</v>
      </c>
      <c r="AL17" s="7" t="s">
        <v>53</v>
      </c>
      <c r="AM17" s="18">
        <f>AF17*Y17</f>
        <v>19.439999999999998</v>
      </c>
      <c r="AN17" s="18">
        <f t="shared" ref="AN17:AO17" si="4">AG17*Z17</f>
        <v>39.6</v>
      </c>
      <c r="AO17" s="18">
        <f t="shared" si="4"/>
        <v>36.72</v>
      </c>
    </row>
    <row r="18" spans="1:41" x14ac:dyDescent="0.2">
      <c r="A18" t="s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R18" s="11">
        <f>AVERAGE(B18:Q18)</f>
        <v>0.2</v>
      </c>
      <c r="S18" s="29"/>
      <c r="V18" s="26"/>
      <c r="W18" s="27"/>
      <c r="X18" s="7" t="s">
        <v>83</v>
      </c>
      <c r="Y18" s="18">
        <f>R26</f>
        <v>0</v>
      </c>
      <c r="Z18" s="18">
        <f>R57</f>
        <v>0.5</v>
      </c>
      <c r="AA18" s="18">
        <f>R88</f>
        <v>0.9</v>
      </c>
      <c r="AC18" s="26"/>
      <c r="AD18" s="27"/>
      <c r="AE18" s="7" t="s">
        <v>83</v>
      </c>
      <c r="AF18" s="18">
        <v>59.2</v>
      </c>
      <c r="AG18" s="18">
        <v>62</v>
      </c>
      <c r="AH18" s="18">
        <v>65.2</v>
      </c>
      <c r="AJ18" s="26"/>
      <c r="AK18" s="27"/>
      <c r="AL18" s="7" t="s">
        <v>83</v>
      </c>
      <c r="AM18" s="22">
        <v>0</v>
      </c>
      <c r="AN18" s="18">
        <f t="shared" ref="AN18:AN28" si="5">AG18*Z18</f>
        <v>31</v>
      </c>
      <c r="AO18" s="18">
        <f t="shared" ref="AO18:AO28" si="6">AH18*AA18</f>
        <v>58.680000000000007</v>
      </c>
    </row>
    <row r="19" spans="1:41" x14ac:dyDescent="0.2">
      <c r="A19" t="s">
        <v>17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R19" s="12">
        <f>AVERAGE(B19:Q19)</f>
        <v>0.4</v>
      </c>
      <c r="S19" s="30"/>
      <c r="V19" s="26"/>
      <c r="W19" s="27" t="s">
        <v>52</v>
      </c>
      <c r="X19" s="7" t="s">
        <v>53</v>
      </c>
      <c r="Y19" s="18">
        <f>R17</f>
        <v>0.5</v>
      </c>
      <c r="Z19" s="18">
        <f>R48</f>
        <v>0.2</v>
      </c>
      <c r="AA19" s="18">
        <f>R79</f>
        <v>0.2</v>
      </c>
      <c r="AC19" s="26"/>
      <c r="AD19" s="27" t="s">
        <v>52</v>
      </c>
      <c r="AE19" s="7" t="s">
        <v>53</v>
      </c>
      <c r="AF19" s="18">
        <v>51.6</v>
      </c>
      <c r="AG19" s="18">
        <v>54.7</v>
      </c>
      <c r="AH19" s="18">
        <v>57.4</v>
      </c>
      <c r="AJ19" s="26"/>
      <c r="AK19" s="27" t="s">
        <v>52</v>
      </c>
      <c r="AL19" s="7" t="s">
        <v>53</v>
      </c>
      <c r="AM19" s="18">
        <f t="shared" ref="AM19:AM28" si="7">AF19*Y19</f>
        <v>25.8</v>
      </c>
      <c r="AN19" s="18">
        <f t="shared" si="5"/>
        <v>10.940000000000001</v>
      </c>
      <c r="AO19" s="18">
        <f t="shared" si="6"/>
        <v>11.48</v>
      </c>
    </row>
    <row r="20" spans="1:41" x14ac:dyDescent="0.2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1</v>
      </c>
      <c r="J20">
        <v>0</v>
      </c>
      <c r="K20">
        <v>0</v>
      </c>
      <c r="R20" s="10">
        <f>AVERAGE(B20:Q20)</f>
        <v>0.3</v>
      </c>
      <c r="S20" s="28" t="s">
        <v>55</v>
      </c>
      <c r="V20" s="26"/>
      <c r="W20" s="27"/>
      <c r="X20" s="7" t="s">
        <v>83</v>
      </c>
      <c r="Y20" s="18">
        <f>R20</f>
        <v>0.3</v>
      </c>
      <c r="Z20" s="18">
        <f>R51</f>
        <v>0.4</v>
      </c>
      <c r="AA20" s="18">
        <f>R82</f>
        <v>0.5</v>
      </c>
      <c r="AC20" s="26"/>
      <c r="AD20" s="27"/>
      <c r="AE20" s="7" t="s">
        <v>83</v>
      </c>
      <c r="AF20" s="18">
        <v>73.8</v>
      </c>
      <c r="AG20" s="18">
        <v>71</v>
      </c>
      <c r="AH20" s="18">
        <v>58.2</v>
      </c>
      <c r="AJ20" s="26"/>
      <c r="AK20" s="27"/>
      <c r="AL20" s="7" t="s">
        <v>83</v>
      </c>
      <c r="AM20" s="18">
        <f t="shared" si="7"/>
        <v>22.139999999999997</v>
      </c>
      <c r="AN20" s="18">
        <f t="shared" si="5"/>
        <v>28.400000000000002</v>
      </c>
      <c r="AO20" s="18">
        <f t="shared" si="6"/>
        <v>29.1</v>
      </c>
    </row>
    <row r="21" spans="1:41" x14ac:dyDescent="0.2">
      <c r="A21" t="s">
        <v>19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R21" s="11">
        <f>AVERAGE(B21:Q21)</f>
        <v>0.1</v>
      </c>
      <c r="S21" s="29"/>
      <c r="V21" s="26">
        <v>192</v>
      </c>
      <c r="W21" s="27" t="s">
        <v>56</v>
      </c>
      <c r="X21" s="7" t="s">
        <v>53</v>
      </c>
      <c r="Y21" s="18">
        <f>R24</f>
        <v>0.1</v>
      </c>
      <c r="Z21" s="18">
        <f>R55</f>
        <v>0.8</v>
      </c>
      <c r="AA21" s="18">
        <f>R86</f>
        <v>0.7</v>
      </c>
      <c r="AC21" s="26">
        <v>192</v>
      </c>
      <c r="AD21" s="27" t="s">
        <v>56</v>
      </c>
      <c r="AE21" s="7" t="s">
        <v>53</v>
      </c>
      <c r="AF21" s="18">
        <v>61.5</v>
      </c>
      <c r="AG21" s="18">
        <v>61.5</v>
      </c>
      <c r="AH21" s="18">
        <v>65.099999999999994</v>
      </c>
      <c r="AJ21" s="26">
        <v>192</v>
      </c>
      <c r="AK21" s="27" t="s">
        <v>56</v>
      </c>
      <c r="AL21" s="7" t="s">
        <v>53</v>
      </c>
      <c r="AM21" s="18">
        <f t="shared" si="7"/>
        <v>6.15</v>
      </c>
      <c r="AN21" s="18">
        <f t="shared" si="5"/>
        <v>49.2</v>
      </c>
      <c r="AO21" s="18">
        <f t="shared" si="6"/>
        <v>45.569999999999993</v>
      </c>
    </row>
    <row r="22" spans="1:41" x14ac:dyDescent="0.2">
      <c r="A22" t="s">
        <v>20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R22" s="12">
        <f>AVERAGE(B22:Q22)</f>
        <v>0.5</v>
      </c>
      <c r="S22" s="30"/>
      <c r="V22" s="26"/>
      <c r="W22" s="27"/>
      <c r="X22" s="7" t="s">
        <v>83</v>
      </c>
      <c r="Y22" s="18">
        <f>R27</f>
        <v>0.1</v>
      </c>
      <c r="Z22" s="18">
        <f>R58</f>
        <v>0.3</v>
      </c>
      <c r="AA22" s="18">
        <f>R89</f>
        <v>0.5</v>
      </c>
      <c r="AC22" s="26"/>
      <c r="AD22" s="27"/>
      <c r="AE22" s="7" t="s">
        <v>83</v>
      </c>
      <c r="AF22" s="18">
        <v>69.400000000000006</v>
      </c>
      <c r="AG22" s="18">
        <v>52.8</v>
      </c>
      <c r="AH22" s="18">
        <v>65.5</v>
      </c>
      <c r="AJ22" s="26"/>
      <c r="AK22" s="27"/>
      <c r="AL22" s="7" t="s">
        <v>83</v>
      </c>
      <c r="AM22" s="18">
        <f t="shared" si="7"/>
        <v>6.9400000000000013</v>
      </c>
      <c r="AN22" s="18">
        <f t="shared" si="5"/>
        <v>15.839999999999998</v>
      </c>
      <c r="AO22" s="18">
        <f t="shared" si="6"/>
        <v>32.75</v>
      </c>
    </row>
    <row r="23" spans="1:41" x14ac:dyDescent="0.2">
      <c r="A23" t="s">
        <v>21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R23" s="10">
        <f>AVERAGE(B23:Q23)</f>
        <v>0.3</v>
      </c>
      <c r="S23" s="28" t="s">
        <v>57</v>
      </c>
      <c r="V23" s="26"/>
      <c r="W23" s="27" t="s">
        <v>52</v>
      </c>
      <c r="X23" s="7" t="s">
        <v>53</v>
      </c>
      <c r="Y23" s="18">
        <f>R18</f>
        <v>0.2</v>
      </c>
      <c r="Z23" s="18">
        <f>R49</f>
        <v>0.5</v>
      </c>
      <c r="AA23" s="18">
        <f>R80</f>
        <v>0.4</v>
      </c>
      <c r="AC23" s="26"/>
      <c r="AD23" s="27" t="s">
        <v>52</v>
      </c>
      <c r="AE23" s="7" t="s">
        <v>53</v>
      </c>
      <c r="AF23" s="18">
        <v>64.099999999999994</v>
      </c>
      <c r="AG23" s="18">
        <v>74.099999999999994</v>
      </c>
      <c r="AH23" s="18">
        <v>61.4</v>
      </c>
      <c r="AJ23" s="26"/>
      <c r="AK23" s="27" t="s">
        <v>52</v>
      </c>
      <c r="AL23" s="7" t="s">
        <v>53</v>
      </c>
      <c r="AM23" s="18">
        <f t="shared" si="7"/>
        <v>12.82</v>
      </c>
      <c r="AN23" s="18">
        <f t="shared" si="5"/>
        <v>37.049999999999997</v>
      </c>
      <c r="AO23" s="18">
        <f t="shared" si="6"/>
        <v>24.560000000000002</v>
      </c>
    </row>
    <row r="24" spans="1:41" x14ac:dyDescent="0.2">
      <c r="A24" t="s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R24" s="11">
        <f>AVERAGE(B24:Q24)</f>
        <v>0.1</v>
      </c>
      <c r="S24" s="29"/>
      <c r="V24" s="26"/>
      <c r="W24" s="27"/>
      <c r="X24" s="7" t="s">
        <v>83</v>
      </c>
      <c r="Y24" s="18">
        <f>R21</f>
        <v>0.1</v>
      </c>
      <c r="Z24" s="18">
        <f>R52</f>
        <v>0.6</v>
      </c>
      <c r="AA24" s="18">
        <f>R83</f>
        <v>1</v>
      </c>
      <c r="AC24" s="26"/>
      <c r="AD24" s="27"/>
      <c r="AE24" s="7" t="s">
        <v>83</v>
      </c>
      <c r="AF24" s="18">
        <v>61.7</v>
      </c>
      <c r="AG24" s="18">
        <v>66.2</v>
      </c>
      <c r="AH24" s="18">
        <v>71.8</v>
      </c>
      <c r="AJ24" s="26"/>
      <c r="AK24" s="27"/>
      <c r="AL24" s="7" t="s">
        <v>83</v>
      </c>
      <c r="AM24" s="18">
        <f t="shared" si="7"/>
        <v>6.1700000000000008</v>
      </c>
      <c r="AN24" s="18">
        <f t="shared" si="5"/>
        <v>39.72</v>
      </c>
      <c r="AO24" s="18">
        <f t="shared" si="6"/>
        <v>71.8</v>
      </c>
    </row>
    <row r="25" spans="1:41" x14ac:dyDescent="0.2">
      <c r="A25" t="s">
        <v>23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R25" s="12">
        <f>AVERAGE(B25:Q25)</f>
        <v>0.2</v>
      </c>
      <c r="S25" s="30"/>
      <c r="V25" s="26">
        <v>256</v>
      </c>
      <c r="W25" s="27" t="s">
        <v>56</v>
      </c>
      <c r="X25" s="7" t="s">
        <v>53</v>
      </c>
      <c r="Y25" s="18">
        <f>R25</f>
        <v>0.2</v>
      </c>
      <c r="Z25" s="18">
        <f>R56</f>
        <v>1</v>
      </c>
      <c r="AA25" s="18">
        <f>R87</f>
        <v>1</v>
      </c>
      <c r="AC25" s="26">
        <v>256</v>
      </c>
      <c r="AD25" s="27" t="s">
        <v>56</v>
      </c>
      <c r="AE25" s="7" t="s">
        <v>53</v>
      </c>
      <c r="AF25" s="18">
        <v>61.5</v>
      </c>
      <c r="AG25" s="18">
        <v>66.400000000000006</v>
      </c>
      <c r="AH25" s="18">
        <v>62.6</v>
      </c>
      <c r="AJ25" s="26">
        <v>256</v>
      </c>
      <c r="AK25" s="27" t="s">
        <v>56</v>
      </c>
      <c r="AL25" s="7" t="s">
        <v>53</v>
      </c>
      <c r="AM25" s="18">
        <f t="shared" si="7"/>
        <v>12.3</v>
      </c>
      <c r="AN25" s="18">
        <f t="shared" si="5"/>
        <v>66.400000000000006</v>
      </c>
      <c r="AO25" s="18">
        <f t="shared" si="6"/>
        <v>62.6</v>
      </c>
    </row>
    <row r="26" spans="1:41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R26" s="10">
        <f>AVERAGE(B26:Q26)</f>
        <v>0</v>
      </c>
      <c r="S26" s="28" t="s">
        <v>58</v>
      </c>
      <c r="V26" s="26"/>
      <c r="W26" s="27"/>
      <c r="X26" s="7" t="s">
        <v>83</v>
      </c>
      <c r="Y26" s="18">
        <f>R28</f>
        <v>0.1</v>
      </c>
      <c r="Z26" s="18">
        <f>R59</f>
        <v>0.6</v>
      </c>
      <c r="AA26" s="18">
        <f>R90</f>
        <v>0.9</v>
      </c>
      <c r="AC26" s="26"/>
      <c r="AD26" s="27"/>
      <c r="AE26" s="7" t="s">
        <v>83</v>
      </c>
      <c r="AF26" s="18">
        <v>54.2</v>
      </c>
      <c r="AG26" s="18">
        <v>67.3</v>
      </c>
      <c r="AH26" s="18">
        <v>74.3</v>
      </c>
      <c r="AJ26" s="26"/>
      <c r="AK26" s="27"/>
      <c r="AL26" s="7" t="s">
        <v>83</v>
      </c>
      <c r="AM26" s="18">
        <f t="shared" si="7"/>
        <v>5.4200000000000008</v>
      </c>
      <c r="AN26" s="18">
        <f t="shared" si="5"/>
        <v>40.379999999999995</v>
      </c>
      <c r="AO26" s="18">
        <f t="shared" si="6"/>
        <v>66.87</v>
      </c>
    </row>
    <row r="27" spans="1:41" x14ac:dyDescent="0.2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R27" s="11">
        <f>AVERAGE(B27:Q27)</f>
        <v>0.1</v>
      </c>
      <c r="S27" s="29"/>
      <c r="V27" s="26"/>
      <c r="W27" s="27" t="s">
        <v>52</v>
      </c>
      <c r="X27" s="7" t="s">
        <v>53</v>
      </c>
      <c r="Y27" s="18">
        <f>R19</f>
        <v>0.4</v>
      </c>
      <c r="Z27" s="18">
        <f>R50</f>
        <v>0.5</v>
      </c>
      <c r="AA27" s="18">
        <f>R81</f>
        <v>0.6</v>
      </c>
      <c r="AC27" s="26"/>
      <c r="AD27" s="27" t="s">
        <v>52</v>
      </c>
      <c r="AE27" s="7" t="s">
        <v>53</v>
      </c>
      <c r="AF27" s="18">
        <v>66.3</v>
      </c>
      <c r="AG27" s="18">
        <v>74.099999999999994</v>
      </c>
      <c r="AH27" s="18">
        <v>73.5</v>
      </c>
      <c r="AJ27" s="26"/>
      <c r="AK27" s="27" t="s">
        <v>52</v>
      </c>
      <c r="AL27" s="7" t="s">
        <v>53</v>
      </c>
      <c r="AM27" s="18">
        <f t="shared" si="7"/>
        <v>26.52</v>
      </c>
      <c r="AN27" s="18">
        <f t="shared" si="5"/>
        <v>37.049999999999997</v>
      </c>
      <c r="AO27" s="18">
        <f t="shared" si="6"/>
        <v>44.1</v>
      </c>
    </row>
    <row r="28" spans="1:41" x14ac:dyDescent="0.2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R28" s="12">
        <f>AVERAGE(B28:Q28)</f>
        <v>0.1</v>
      </c>
      <c r="S28" s="30"/>
      <c r="V28" s="26"/>
      <c r="W28" s="27"/>
      <c r="X28" s="7" t="s">
        <v>83</v>
      </c>
      <c r="Y28" s="18">
        <f>R22</f>
        <v>0.5</v>
      </c>
      <c r="Z28" s="18">
        <f>R53</f>
        <v>1.2</v>
      </c>
      <c r="AA28" s="18">
        <f>R84</f>
        <v>0.5</v>
      </c>
      <c r="AC28" s="26"/>
      <c r="AD28" s="27"/>
      <c r="AE28" s="7" t="s">
        <v>83</v>
      </c>
      <c r="AF28" s="18">
        <v>66.599999999999994</v>
      </c>
      <c r="AG28" s="18">
        <v>59.7</v>
      </c>
      <c r="AH28" s="18">
        <v>65.599999999999994</v>
      </c>
      <c r="AJ28" s="26"/>
      <c r="AK28" s="27"/>
      <c r="AL28" s="7" t="s">
        <v>83</v>
      </c>
      <c r="AM28" s="18">
        <f t="shared" si="7"/>
        <v>33.299999999999997</v>
      </c>
      <c r="AN28" s="18">
        <f t="shared" si="5"/>
        <v>71.64</v>
      </c>
      <c r="AO28" s="18">
        <f t="shared" si="6"/>
        <v>32.799999999999997</v>
      </c>
    </row>
    <row r="30" spans="1:41" x14ac:dyDescent="0.2">
      <c r="A30" s="3">
        <v>100</v>
      </c>
    </row>
    <row r="32" spans="1:41" x14ac:dyDescent="0.2">
      <c r="A32" s="1" t="s">
        <v>0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/>
      <c r="M32" s="1"/>
      <c r="N32" s="1"/>
      <c r="O32" s="1"/>
      <c r="P32" s="1"/>
      <c r="R32" s="4" t="s">
        <v>51</v>
      </c>
    </row>
    <row r="33" spans="1:19" x14ac:dyDescent="0.2">
      <c r="A33" t="s">
        <v>27</v>
      </c>
      <c r="B33">
        <v>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3</v>
      </c>
      <c r="L33">
        <v>1</v>
      </c>
      <c r="M33">
        <v>0</v>
      </c>
      <c r="N33">
        <v>0</v>
      </c>
      <c r="O33">
        <v>0</v>
      </c>
      <c r="P33">
        <v>0</v>
      </c>
      <c r="R33" s="10">
        <f>AVERAGE(B33:Q33)</f>
        <v>0.6</v>
      </c>
      <c r="S33" s="28" t="s">
        <v>54</v>
      </c>
    </row>
    <row r="34" spans="1:19" x14ac:dyDescent="0.2">
      <c r="A34" t="s">
        <v>28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1</v>
      </c>
      <c r="O34">
        <v>0</v>
      </c>
      <c r="P34">
        <v>0</v>
      </c>
      <c r="R34" s="11">
        <f>AVERAGE(B34:Q34)</f>
        <v>0.46666666666666667</v>
      </c>
      <c r="S34" s="29"/>
    </row>
    <row r="35" spans="1:19" x14ac:dyDescent="0.2">
      <c r="A35" t="s">
        <v>29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R35" s="12">
        <f>AVERAGE(B35:Q35)</f>
        <v>0.2</v>
      </c>
      <c r="S35" s="30"/>
    </row>
    <row r="36" spans="1:19" x14ac:dyDescent="0.2">
      <c r="A36" t="s">
        <v>30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R36" s="10">
        <f>AVERAGE(B36:Q36)</f>
        <v>0.53333333333333333</v>
      </c>
      <c r="S36" s="28" t="s">
        <v>55</v>
      </c>
    </row>
    <row r="37" spans="1:19" x14ac:dyDescent="0.2">
      <c r="A37" t="s">
        <v>31</v>
      </c>
      <c r="B37">
        <v>2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R37" s="11">
        <f>AVERAGE(B37:Q37)</f>
        <v>0.6</v>
      </c>
      <c r="S37" s="29"/>
    </row>
    <row r="38" spans="1:19" x14ac:dyDescent="0.2">
      <c r="A38" t="s">
        <v>32</v>
      </c>
      <c r="B38">
        <v>2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R38" s="12">
        <f>AVERAGE(B38:Q38)</f>
        <v>0.6</v>
      </c>
      <c r="S38" s="30"/>
    </row>
    <row r="39" spans="1:19" x14ac:dyDescent="0.2">
      <c r="A39" t="s">
        <v>33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R39" s="10">
        <f>AVERAGE(B39:Q39)</f>
        <v>6.6666666666666666E-2</v>
      </c>
      <c r="S39" s="28" t="s">
        <v>57</v>
      </c>
    </row>
    <row r="40" spans="1:19" x14ac:dyDescent="0.2">
      <c r="A40" t="s">
        <v>34</v>
      </c>
      <c r="B40">
        <v>2</v>
      </c>
      <c r="C40">
        <v>0</v>
      </c>
      <c r="D40">
        <v>0</v>
      </c>
      <c r="E40">
        <v>0</v>
      </c>
      <c r="F40">
        <v>0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R40" s="11">
        <f>AVERAGE(B40:Q40)</f>
        <v>0.4</v>
      </c>
      <c r="S40" s="29"/>
    </row>
    <row r="41" spans="1:19" x14ac:dyDescent="0.2">
      <c r="A41" t="s">
        <v>35</v>
      </c>
      <c r="B41">
        <v>4</v>
      </c>
      <c r="C41">
        <v>0</v>
      </c>
      <c r="D41">
        <v>0</v>
      </c>
      <c r="E41">
        <v>0</v>
      </c>
      <c r="F41">
        <v>0</v>
      </c>
      <c r="G41">
        <v>2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R41" s="12">
        <f>AVERAGE(B41:Q41)</f>
        <v>0.6</v>
      </c>
      <c r="S41" s="30"/>
    </row>
    <row r="42" spans="1:19" x14ac:dyDescent="0.2">
      <c r="A42" t="s">
        <v>36</v>
      </c>
      <c r="B42">
        <v>2</v>
      </c>
      <c r="C42">
        <v>1</v>
      </c>
      <c r="D42">
        <v>1</v>
      </c>
      <c r="E42">
        <v>0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R42" s="10">
        <f>AVERAGE(B42:Q42)</f>
        <v>0.53333333333333333</v>
      </c>
      <c r="S42" s="28" t="s">
        <v>58</v>
      </c>
    </row>
    <row r="43" spans="1:19" x14ac:dyDescent="0.2">
      <c r="A43" t="s">
        <v>37</v>
      </c>
      <c r="B43">
        <v>2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 s="11">
        <f>AVERAGE(B43:Q43)</f>
        <v>0.4</v>
      </c>
      <c r="S43" s="29"/>
    </row>
    <row r="44" spans="1:19" x14ac:dyDescent="0.2">
      <c r="A44" t="s">
        <v>38</v>
      </c>
      <c r="B44">
        <v>2</v>
      </c>
      <c r="C44">
        <v>0</v>
      </c>
      <c r="D44">
        <v>0</v>
      </c>
      <c r="E44">
        <v>1</v>
      </c>
      <c r="F44">
        <v>0</v>
      </c>
      <c r="G44">
        <v>4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R44" s="12">
        <f>AVERAGE(B44:Q44)</f>
        <v>0.6</v>
      </c>
      <c r="S44" s="30"/>
    </row>
    <row r="47" spans="1:19" x14ac:dyDescent="0.2">
      <c r="A47" s="1" t="s">
        <v>0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/>
      <c r="M47" s="1"/>
      <c r="N47" s="1"/>
      <c r="O47" s="1"/>
      <c r="P47" s="1"/>
      <c r="R47" s="4" t="s">
        <v>51</v>
      </c>
    </row>
    <row r="48" spans="1:19" x14ac:dyDescent="0.2">
      <c r="A48" t="s">
        <v>39</v>
      </c>
      <c r="B48">
        <v>0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R48" s="10">
        <f>AVERAGE(B48:Q48)</f>
        <v>0.2</v>
      </c>
      <c r="S48" s="28" t="s">
        <v>54</v>
      </c>
    </row>
    <row r="49" spans="1:19" x14ac:dyDescent="0.2">
      <c r="A49" t="s">
        <v>40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  <c r="K49">
        <v>1</v>
      </c>
      <c r="R49" s="11">
        <f>AVERAGE(B49:Q49)</f>
        <v>0.5</v>
      </c>
      <c r="S49" s="29"/>
    </row>
    <row r="50" spans="1:19" x14ac:dyDescent="0.2">
      <c r="A50" t="s">
        <v>41</v>
      </c>
      <c r="B50">
        <v>2</v>
      </c>
      <c r="C50">
        <v>1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R50" s="12">
        <f>AVERAGE(B50:Q50)</f>
        <v>0.5</v>
      </c>
      <c r="S50" s="29"/>
    </row>
    <row r="51" spans="1:19" x14ac:dyDescent="0.2">
      <c r="A51" t="s">
        <v>42</v>
      </c>
      <c r="B51">
        <v>2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R51" s="10">
        <f>AVERAGE(B51:Q51)</f>
        <v>0.4</v>
      </c>
      <c r="S51" s="28" t="s">
        <v>55</v>
      </c>
    </row>
    <row r="52" spans="1:19" x14ac:dyDescent="0.2">
      <c r="A52" t="s">
        <v>43</v>
      </c>
      <c r="B52">
        <v>2</v>
      </c>
      <c r="C52">
        <v>0</v>
      </c>
      <c r="D52">
        <v>0</v>
      </c>
      <c r="E52">
        <v>1</v>
      </c>
      <c r="F52">
        <v>0</v>
      </c>
      <c r="G52">
        <v>2</v>
      </c>
      <c r="H52">
        <v>0</v>
      </c>
      <c r="I52">
        <v>0</v>
      </c>
      <c r="J52">
        <v>0</v>
      </c>
      <c r="K52">
        <v>1</v>
      </c>
      <c r="R52" s="11">
        <f>AVERAGE(B52:Q52)</f>
        <v>0.6</v>
      </c>
      <c r="S52" s="29"/>
    </row>
    <row r="53" spans="1:19" x14ac:dyDescent="0.2">
      <c r="A53" t="s">
        <v>44</v>
      </c>
      <c r="B53">
        <v>3</v>
      </c>
      <c r="C53">
        <v>1</v>
      </c>
      <c r="D53">
        <v>2</v>
      </c>
      <c r="E53">
        <v>1</v>
      </c>
      <c r="F53">
        <v>0</v>
      </c>
      <c r="G53">
        <v>2</v>
      </c>
      <c r="H53">
        <v>1</v>
      </c>
      <c r="I53">
        <v>1</v>
      </c>
      <c r="J53">
        <v>1</v>
      </c>
      <c r="K53">
        <v>0</v>
      </c>
      <c r="R53" s="12">
        <f>AVERAGE(B53:Q53)</f>
        <v>1.2</v>
      </c>
      <c r="S53" s="30"/>
    </row>
    <row r="54" spans="1:19" x14ac:dyDescent="0.2">
      <c r="A54" t="s">
        <v>45</v>
      </c>
      <c r="B54">
        <v>0</v>
      </c>
      <c r="C54">
        <v>1</v>
      </c>
      <c r="D54">
        <v>2</v>
      </c>
      <c r="E54">
        <v>0</v>
      </c>
      <c r="F54">
        <v>1</v>
      </c>
      <c r="G54">
        <v>2</v>
      </c>
      <c r="H54">
        <v>0</v>
      </c>
      <c r="I54">
        <v>0</v>
      </c>
      <c r="J54">
        <v>0</v>
      </c>
      <c r="K54">
        <v>0</v>
      </c>
      <c r="R54" s="10">
        <f>AVERAGE(B54:Q54)</f>
        <v>0.6</v>
      </c>
      <c r="S54" s="28" t="s">
        <v>57</v>
      </c>
    </row>
    <row r="55" spans="1:19" x14ac:dyDescent="0.2">
      <c r="A55" t="s">
        <v>46</v>
      </c>
      <c r="B55">
        <v>2</v>
      </c>
      <c r="C55">
        <v>0</v>
      </c>
      <c r="D55">
        <v>2</v>
      </c>
      <c r="E55">
        <v>0</v>
      </c>
      <c r="F55">
        <v>0</v>
      </c>
      <c r="G55">
        <v>2</v>
      </c>
      <c r="H55">
        <v>1</v>
      </c>
      <c r="I55">
        <v>0</v>
      </c>
      <c r="J55">
        <v>0</v>
      </c>
      <c r="K55">
        <v>1</v>
      </c>
      <c r="R55" s="11">
        <f>AVERAGE(B55:Q55)</f>
        <v>0.8</v>
      </c>
      <c r="S55" s="29"/>
    </row>
    <row r="56" spans="1:19" x14ac:dyDescent="0.2">
      <c r="A56" t="s">
        <v>47</v>
      </c>
      <c r="B56">
        <v>2</v>
      </c>
      <c r="C56">
        <v>0</v>
      </c>
      <c r="D56">
        <v>2</v>
      </c>
      <c r="E56">
        <v>1</v>
      </c>
      <c r="F56">
        <v>1</v>
      </c>
      <c r="G56">
        <v>2</v>
      </c>
      <c r="H56">
        <v>0</v>
      </c>
      <c r="I56">
        <v>1</v>
      </c>
      <c r="J56">
        <v>1</v>
      </c>
      <c r="K56">
        <v>0</v>
      </c>
      <c r="R56" s="12">
        <f>AVERAGE(B56:Q56)</f>
        <v>1</v>
      </c>
      <c r="S56" s="30"/>
    </row>
    <row r="57" spans="1:19" x14ac:dyDescent="0.2">
      <c r="A57" t="s">
        <v>48</v>
      </c>
      <c r="B57">
        <v>2</v>
      </c>
      <c r="C57">
        <v>0</v>
      </c>
      <c r="D57">
        <v>2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R57" s="10">
        <f>AVERAGE(B57:Q57)</f>
        <v>0.5</v>
      </c>
      <c r="S57" s="29" t="s">
        <v>58</v>
      </c>
    </row>
    <row r="58" spans="1:19" x14ac:dyDescent="0.2">
      <c r="A58" t="s">
        <v>49</v>
      </c>
      <c r="B58">
        <v>0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R58" s="11">
        <f>AVERAGE(B58:Q58)</f>
        <v>0.3</v>
      </c>
      <c r="S58" s="29"/>
    </row>
    <row r="59" spans="1:19" x14ac:dyDescent="0.2">
      <c r="A59" t="s">
        <v>50</v>
      </c>
      <c r="B59">
        <v>1</v>
      </c>
      <c r="C59">
        <v>1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R59" s="12">
        <f>AVERAGE(B59:Q59)</f>
        <v>0.6</v>
      </c>
      <c r="S59" s="30"/>
    </row>
    <row r="61" spans="1:19" x14ac:dyDescent="0.2">
      <c r="A61" s="2">
        <v>200</v>
      </c>
    </row>
    <row r="63" spans="1:19" x14ac:dyDescent="0.2">
      <c r="A63" t="s">
        <v>0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/>
      <c r="M63" s="1"/>
      <c r="N63" s="1"/>
      <c r="O63" s="1"/>
      <c r="P63" s="1"/>
      <c r="R63" s="4" t="s">
        <v>51</v>
      </c>
    </row>
    <row r="64" spans="1:19" x14ac:dyDescent="0.2">
      <c r="A64" t="s">
        <v>59</v>
      </c>
      <c r="B64">
        <v>1</v>
      </c>
      <c r="C64">
        <v>2</v>
      </c>
      <c r="D64">
        <v>0</v>
      </c>
      <c r="E64">
        <v>1</v>
      </c>
      <c r="F64">
        <v>4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 s="10">
        <f>AVERAGE(B64:Q64)</f>
        <v>0.66666666666666663</v>
      </c>
      <c r="S64" s="28" t="s">
        <v>54</v>
      </c>
    </row>
    <row r="65" spans="1:19" x14ac:dyDescent="0.2">
      <c r="A65" t="s">
        <v>60</v>
      </c>
      <c r="B65">
        <v>1</v>
      </c>
      <c r="C65">
        <v>0</v>
      </c>
      <c r="D65">
        <v>0</v>
      </c>
      <c r="E65">
        <v>0</v>
      </c>
      <c r="F65">
        <v>4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R65" s="11">
        <f>AVERAGE(B65:Q65)</f>
        <v>0.46666666666666667</v>
      </c>
      <c r="S65" s="29"/>
    </row>
    <row r="66" spans="1:19" x14ac:dyDescent="0.2">
      <c r="A66" t="s">
        <v>61</v>
      </c>
      <c r="B66">
        <v>0</v>
      </c>
      <c r="C66">
        <v>0</v>
      </c>
      <c r="D66">
        <v>1</v>
      </c>
      <c r="E66">
        <v>1</v>
      </c>
      <c r="F66">
        <v>3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  <c r="R66" s="12">
        <f>AVERAGE(B66:Q66)</f>
        <v>0.53333333333333333</v>
      </c>
      <c r="S66" s="30"/>
    </row>
    <row r="67" spans="1:19" x14ac:dyDescent="0.2">
      <c r="A67" t="s">
        <v>62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R67" s="10">
        <f>AVERAGE(B67:Q67)</f>
        <v>0.26666666666666666</v>
      </c>
      <c r="S67" s="28" t="s">
        <v>55</v>
      </c>
    </row>
    <row r="68" spans="1:19" x14ac:dyDescent="0.2">
      <c r="A68" t="s">
        <v>63</v>
      </c>
      <c r="B68">
        <v>0</v>
      </c>
      <c r="C68">
        <v>1</v>
      </c>
      <c r="D68">
        <v>1</v>
      </c>
      <c r="E68">
        <v>1</v>
      </c>
      <c r="F68">
        <v>2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R68" s="11">
        <f>AVERAGE(B68:Q68)</f>
        <v>0.46666666666666667</v>
      </c>
      <c r="S68" s="29"/>
    </row>
    <row r="69" spans="1:19" x14ac:dyDescent="0.2">
      <c r="A69" t="s">
        <v>64</v>
      </c>
      <c r="B69">
        <v>0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R69" s="12">
        <f>AVERAGE(B69:Q69)</f>
        <v>0.4</v>
      </c>
      <c r="S69" s="30"/>
    </row>
    <row r="70" spans="1:19" x14ac:dyDescent="0.2">
      <c r="A70" t="s">
        <v>65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R70" s="10">
        <f>AVERAGE(B70:Q70)</f>
        <v>0.46666666666666667</v>
      </c>
      <c r="S70" s="28" t="s">
        <v>57</v>
      </c>
    </row>
    <row r="71" spans="1:19" x14ac:dyDescent="0.2">
      <c r="A71" t="s">
        <v>66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R71" s="11">
        <f>AVERAGE(B71:Q71)</f>
        <v>0.33333333333333331</v>
      </c>
      <c r="S71" s="29"/>
    </row>
    <row r="72" spans="1:19" x14ac:dyDescent="0.2">
      <c r="A72" t="s">
        <v>67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1</v>
      </c>
      <c r="P72">
        <v>0</v>
      </c>
      <c r="R72" s="12">
        <f>AVERAGE(B72:Q72)</f>
        <v>0.4</v>
      </c>
      <c r="S72" s="30"/>
    </row>
    <row r="73" spans="1:19" x14ac:dyDescent="0.2">
      <c r="A73" t="s">
        <v>68</v>
      </c>
      <c r="B73">
        <v>0</v>
      </c>
      <c r="C73">
        <v>2</v>
      </c>
      <c r="D73">
        <v>0</v>
      </c>
      <c r="E73">
        <v>1</v>
      </c>
      <c r="F73">
        <v>3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R73" s="10">
        <f>AVERAGE(B73:Q73)</f>
        <v>0.66666666666666663</v>
      </c>
      <c r="S73" s="28" t="s">
        <v>58</v>
      </c>
    </row>
    <row r="74" spans="1:19" x14ac:dyDescent="0.2">
      <c r="A74" t="s">
        <v>69</v>
      </c>
      <c r="B74">
        <v>0</v>
      </c>
      <c r="C74">
        <v>2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R74" s="11">
        <f>AVERAGE(B74:Q74)</f>
        <v>0.46666666666666667</v>
      </c>
      <c r="S74" s="29"/>
    </row>
    <row r="75" spans="1:19" x14ac:dyDescent="0.2">
      <c r="A75" t="s">
        <v>70</v>
      </c>
      <c r="B75">
        <v>0</v>
      </c>
      <c r="C75">
        <v>3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6</v>
      </c>
      <c r="M75">
        <v>1</v>
      </c>
      <c r="N75">
        <v>0</v>
      </c>
      <c r="O75">
        <v>0</v>
      </c>
      <c r="P75">
        <v>1</v>
      </c>
      <c r="R75" s="12">
        <f>AVERAGE(B75:Q75)</f>
        <v>1</v>
      </c>
      <c r="S75" s="30"/>
    </row>
    <row r="78" spans="1:19" x14ac:dyDescent="0.2">
      <c r="A78" t="s">
        <v>0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/>
      <c r="M78" s="1"/>
      <c r="N78" s="1"/>
      <c r="O78" s="1"/>
      <c r="P78" s="1"/>
      <c r="R78" s="4" t="s">
        <v>51</v>
      </c>
    </row>
    <row r="79" spans="1:19" x14ac:dyDescent="0.2">
      <c r="A79" t="s">
        <v>71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R79" s="10">
        <f>AVERAGE(B79:Q79)</f>
        <v>0.2</v>
      </c>
      <c r="S79" s="28" t="s">
        <v>54</v>
      </c>
    </row>
    <row r="80" spans="1:19" x14ac:dyDescent="0.2">
      <c r="A80" t="s">
        <v>72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v>0</v>
      </c>
      <c r="K80">
        <v>0</v>
      </c>
      <c r="R80" s="11">
        <f t="shared" ref="R80:R90" si="8">AVERAGE(B80:Q80)</f>
        <v>0.4</v>
      </c>
      <c r="S80" s="29"/>
    </row>
    <row r="81" spans="1:19" x14ac:dyDescent="0.2">
      <c r="A81" t="s">
        <v>73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R81" s="12">
        <f t="shared" si="8"/>
        <v>0.6</v>
      </c>
      <c r="S81" s="30"/>
    </row>
    <row r="82" spans="1:19" x14ac:dyDescent="0.2">
      <c r="A82" t="s">
        <v>74</v>
      </c>
      <c r="B82">
        <v>0</v>
      </c>
      <c r="C82">
        <v>0</v>
      </c>
      <c r="D82">
        <v>0</v>
      </c>
      <c r="E82">
        <v>0</v>
      </c>
      <c r="F82">
        <v>2</v>
      </c>
      <c r="G82">
        <v>1</v>
      </c>
      <c r="H82">
        <v>0</v>
      </c>
      <c r="I82">
        <v>1</v>
      </c>
      <c r="J82">
        <v>0</v>
      </c>
      <c r="K82">
        <v>1</v>
      </c>
      <c r="R82" s="10">
        <f t="shared" si="8"/>
        <v>0.5</v>
      </c>
      <c r="S82" s="28" t="s">
        <v>55</v>
      </c>
    </row>
    <row r="83" spans="1:19" x14ac:dyDescent="0.2">
      <c r="A83" t="s">
        <v>75</v>
      </c>
      <c r="B83">
        <v>2</v>
      </c>
      <c r="C83">
        <v>1</v>
      </c>
      <c r="D83">
        <v>1</v>
      </c>
      <c r="E83">
        <v>1</v>
      </c>
      <c r="F83">
        <v>2</v>
      </c>
      <c r="G83">
        <v>0</v>
      </c>
      <c r="H83">
        <v>1</v>
      </c>
      <c r="I83">
        <v>0</v>
      </c>
      <c r="J83">
        <v>1</v>
      </c>
      <c r="K83">
        <v>1</v>
      </c>
      <c r="R83" s="11">
        <f t="shared" si="8"/>
        <v>1</v>
      </c>
      <c r="S83" s="29"/>
    </row>
    <row r="84" spans="1:19" x14ac:dyDescent="0.2">
      <c r="A84" t="s">
        <v>76</v>
      </c>
      <c r="B84">
        <v>0</v>
      </c>
      <c r="C84">
        <v>0</v>
      </c>
      <c r="D84">
        <v>0</v>
      </c>
      <c r="E84">
        <v>0</v>
      </c>
      <c r="F84">
        <v>3</v>
      </c>
      <c r="G84">
        <v>1</v>
      </c>
      <c r="H84">
        <v>0</v>
      </c>
      <c r="I84">
        <v>1</v>
      </c>
      <c r="J84">
        <v>0</v>
      </c>
      <c r="K84">
        <v>0</v>
      </c>
      <c r="R84" s="12">
        <f t="shared" si="8"/>
        <v>0.5</v>
      </c>
      <c r="S84" s="30"/>
    </row>
    <row r="85" spans="1:19" x14ac:dyDescent="0.2">
      <c r="A85" t="s">
        <v>77</v>
      </c>
      <c r="B85">
        <v>0</v>
      </c>
      <c r="C85">
        <v>1</v>
      </c>
      <c r="D85">
        <v>1</v>
      </c>
      <c r="E85">
        <v>0</v>
      </c>
      <c r="F85">
        <v>2</v>
      </c>
      <c r="G85">
        <v>0</v>
      </c>
      <c r="H85">
        <v>0</v>
      </c>
      <c r="I85">
        <v>1</v>
      </c>
      <c r="J85">
        <v>1</v>
      </c>
      <c r="K85">
        <v>0</v>
      </c>
      <c r="R85" s="10">
        <f t="shared" si="8"/>
        <v>0.6</v>
      </c>
      <c r="S85" s="28" t="s">
        <v>57</v>
      </c>
    </row>
    <row r="86" spans="1:19" x14ac:dyDescent="0.2">
      <c r="A86" t="s">
        <v>78</v>
      </c>
      <c r="B86">
        <v>1</v>
      </c>
      <c r="C86">
        <v>0</v>
      </c>
      <c r="D86">
        <v>0</v>
      </c>
      <c r="E86">
        <v>1</v>
      </c>
      <c r="F86">
        <v>2</v>
      </c>
      <c r="G86">
        <v>1</v>
      </c>
      <c r="H86">
        <v>1</v>
      </c>
      <c r="I86">
        <v>0</v>
      </c>
      <c r="J86">
        <v>0</v>
      </c>
      <c r="K86">
        <v>1</v>
      </c>
      <c r="R86" s="11">
        <f t="shared" si="8"/>
        <v>0.7</v>
      </c>
      <c r="S86" s="29"/>
    </row>
    <row r="87" spans="1:19" x14ac:dyDescent="0.2">
      <c r="A87" t="s">
        <v>79</v>
      </c>
      <c r="B87">
        <v>1</v>
      </c>
      <c r="C87">
        <v>2</v>
      </c>
      <c r="D87">
        <v>1</v>
      </c>
      <c r="E87">
        <v>0</v>
      </c>
      <c r="F87">
        <v>3</v>
      </c>
      <c r="G87">
        <v>1</v>
      </c>
      <c r="H87">
        <v>0</v>
      </c>
      <c r="I87">
        <v>0</v>
      </c>
      <c r="J87">
        <v>1</v>
      </c>
      <c r="K87">
        <v>1</v>
      </c>
      <c r="R87" s="12">
        <f t="shared" si="8"/>
        <v>1</v>
      </c>
      <c r="S87" s="30"/>
    </row>
    <row r="88" spans="1:19" x14ac:dyDescent="0.2">
      <c r="A88" t="s">
        <v>80</v>
      </c>
      <c r="B88">
        <v>1</v>
      </c>
      <c r="C88">
        <v>1</v>
      </c>
      <c r="D88">
        <v>2</v>
      </c>
      <c r="E88">
        <v>0</v>
      </c>
      <c r="F88">
        <v>2</v>
      </c>
      <c r="G88">
        <v>0</v>
      </c>
      <c r="H88">
        <v>0</v>
      </c>
      <c r="I88">
        <v>1</v>
      </c>
      <c r="J88">
        <v>1</v>
      </c>
      <c r="K88">
        <v>1</v>
      </c>
      <c r="R88" s="10">
        <f t="shared" si="8"/>
        <v>0.9</v>
      </c>
      <c r="S88" s="28" t="s">
        <v>58</v>
      </c>
    </row>
    <row r="89" spans="1:19" x14ac:dyDescent="0.2">
      <c r="A89" t="s">
        <v>81</v>
      </c>
      <c r="B89">
        <v>0</v>
      </c>
      <c r="C89">
        <v>1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R89" s="11">
        <f t="shared" si="8"/>
        <v>0.5</v>
      </c>
      <c r="S89" s="29"/>
    </row>
    <row r="90" spans="1:19" x14ac:dyDescent="0.2">
      <c r="A90" t="s">
        <v>82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R90" s="12">
        <f t="shared" si="8"/>
        <v>0.9</v>
      </c>
      <c r="S90" s="30"/>
    </row>
  </sheetData>
  <mergeCells count="78">
    <mergeCell ref="AJ21:AJ24"/>
    <mergeCell ref="AK21:AK22"/>
    <mergeCell ref="AK23:AK24"/>
    <mergeCell ref="AJ25:AJ28"/>
    <mergeCell ref="AK25:AK26"/>
    <mergeCell ref="AK27:AK28"/>
    <mergeCell ref="AJ10:AJ13"/>
    <mergeCell ref="AK10:AK11"/>
    <mergeCell ref="AK12:AK13"/>
    <mergeCell ref="AJ17:AJ20"/>
    <mergeCell ref="AK17:AK18"/>
    <mergeCell ref="AK19:AK20"/>
    <mergeCell ref="AJ2:AJ5"/>
    <mergeCell ref="AK2:AK3"/>
    <mergeCell ref="AK4:AK5"/>
    <mergeCell ref="AJ6:AJ9"/>
    <mergeCell ref="AK6:AK7"/>
    <mergeCell ref="AK8:AK9"/>
    <mergeCell ref="AC21:AC24"/>
    <mergeCell ref="AD21:AD22"/>
    <mergeCell ref="AD23:AD24"/>
    <mergeCell ref="AC25:AC28"/>
    <mergeCell ref="AD25:AD26"/>
    <mergeCell ref="AD27:AD28"/>
    <mergeCell ref="AC10:AC13"/>
    <mergeCell ref="AD10:AD11"/>
    <mergeCell ref="AD12:AD13"/>
    <mergeCell ref="AC17:AC20"/>
    <mergeCell ref="AD17:AD18"/>
    <mergeCell ref="AD19:AD20"/>
    <mergeCell ref="AC2:AC5"/>
    <mergeCell ref="AD2:AD3"/>
    <mergeCell ref="AD4:AD5"/>
    <mergeCell ref="AC6:AC9"/>
    <mergeCell ref="AD6:AD7"/>
    <mergeCell ref="AD8:AD9"/>
    <mergeCell ref="S36:S38"/>
    <mergeCell ref="S39:S41"/>
    <mergeCell ref="S42:S44"/>
    <mergeCell ref="S2:S4"/>
    <mergeCell ref="S5:S7"/>
    <mergeCell ref="S8:S10"/>
    <mergeCell ref="S11:S13"/>
    <mergeCell ref="S17:S19"/>
    <mergeCell ref="S20:S22"/>
    <mergeCell ref="W2:W3"/>
    <mergeCell ref="W4:W5"/>
    <mergeCell ref="V6:V9"/>
    <mergeCell ref="W6:W7"/>
    <mergeCell ref="W8:W9"/>
    <mergeCell ref="S79:S81"/>
    <mergeCell ref="S82:S84"/>
    <mergeCell ref="S85:S87"/>
    <mergeCell ref="S88:S90"/>
    <mergeCell ref="V2:V5"/>
    <mergeCell ref="S64:S66"/>
    <mergeCell ref="S67:S69"/>
    <mergeCell ref="S70:S72"/>
    <mergeCell ref="S73:S75"/>
    <mergeCell ref="S48:S50"/>
    <mergeCell ref="S51:S53"/>
    <mergeCell ref="S54:S56"/>
    <mergeCell ref="S57:S59"/>
    <mergeCell ref="S23:S25"/>
    <mergeCell ref="S26:S28"/>
    <mergeCell ref="S33:S35"/>
    <mergeCell ref="V10:V13"/>
    <mergeCell ref="W10:W11"/>
    <mergeCell ref="W12:W13"/>
    <mergeCell ref="V17:V20"/>
    <mergeCell ref="W17:W18"/>
    <mergeCell ref="W19:W20"/>
    <mergeCell ref="V21:V24"/>
    <mergeCell ref="W21:W22"/>
    <mergeCell ref="W23:W24"/>
    <mergeCell ref="V25:V28"/>
    <mergeCell ref="W25:W26"/>
    <mergeCell ref="W27:W28"/>
  </mergeCells>
  <pageMargins left="0" right="0" top="0" bottom="0" header="0" footer="0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0"/>
  <sheetViews>
    <sheetView workbookViewId="0">
      <selection activeCell="P64" sqref="P64:P75"/>
    </sheetView>
  </sheetViews>
  <sheetFormatPr baseColWidth="10" defaultRowHeight="16" x14ac:dyDescent="0.2"/>
  <cols>
    <col min="25" max="25" width="15.6640625" bestFit="1" customWidth="1"/>
    <col min="26" max="27" width="16.33203125" bestFit="1" customWidth="1"/>
  </cols>
  <sheetData>
    <row r="1" spans="1:27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  <c r="M1" s="1"/>
      <c r="N1" s="1"/>
      <c r="O1" s="1"/>
      <c r="P1" s="1"/>
      <c r="R1" s="4" t="s">
        <v>51</v>
      </c>
      <c r="V1" s="2" t="s">
        <v>85</v>
      </c>
      <c r="Y1" s="8">
        <v>10</v>
      </c>
      <c r="Z1" s="8">
        <v>100</v>
      </c>
      <c r="AA1" s="8">
        <v>200</v>
      </c>
    </row>
    <row r="2" spans="1:27" x14ac:dyDescent="0.2">
      <c r="A2" t="s">
        <v>3</v>
      </c>
      <c r="B2">
        <v>25</v>
      </c>
      <c r="C2">
        <v>55</v>
      </c>
      <c r="D2">
        <v>61</v>
      </c>
      <c r="E2">
        <v>85</v>
      </c>
      <c r="F2">
        <v>52</v>
      </c>
      <c r="G2">
        <v>41</v>
      </c>
      <c r="H2">
        <v>63</v>
      </c>
      <c r="I2">
        <v>68</v>
      </c>
      <c r="J2">
        <v>49</v>
      </c>
      <c r="K2">
        <v>45</v>
      </c>
      <c r="L2">
        <v>39</v>
      </c>
      <c r="M2">
        <v>52</v>
      </c>
      <c r="N2">
        <v>42</v>
      </c>
      <c r="O2">
        <v>61</v>
      </c>
      <c r="P2">
        <v>53</v>
      </c>
      <c r="R2" s="13">
        <f>AVERAGE(B2:Q2)</f>
        <v>52.733333333333334</v>
      </c>
      <c r="S2" s="28" t="s">
        <v>54</v>
      </c>
      <c r="T2">
        <v>128</v>
      </c>
      <c r="V2" s="26">
        <v>128</v>
      </c>
      <c r="W2" s="27" t="s">
        <v>56</v>
      </c>
      <c r="X2" s="7" t="s">
        <v>53</v>
      </c>
      <c r="Y2" s="17">
        <f>R8</f>
        <v>61.266666666666666</v>
      </c>
      <c r="Z2" s="18">
        <f>R39</f>
        <v>62.666666666666664</v>
      </c>
      <c r="AA2" s="18">
        <f>R70</f>
        <v>77.533333333333331</v>
      </c>
    </row>
    <row r="3" spans="1:27" x14ac:dyDescent="0.2">
      <c r="A3" t="s">
        <v>4</v>
      </c>
      <c r="B3">
        <v>67</v>
      </c>
      <c r="C3">
        <v>47</v>
      </c>
      <c r="D3">
        <v>43</v>
      </c>
      <c r="E3">
        <v>70</v>
      </c>
      <c r="F3">
        <v>84</v>
      </c>
      <c r="G3">
        <v>46</v>
      </c>
      <c r="H3">
        <v>51</v>
      </c>
      <c r="I3">
        <v>77</v>
      </c>
      <c r="J3">
        <v>62</v>
      </c>
      <c r="K3">
        <v>43</v>
      </c>
      <c r="L3">
        <v>90</v>
      </c>
      <c r="M3">
        <v>82</v>
      </c>
      <c r="N3">
        <v>62</v>
      </c>
      <c r="O3">
        <v>48</v>
      </c>
      <c r="P3">
        <v>53</v>
      </c>
      <c r="R3" s="14">
        <f t="shared" ref="R3:R13" si="0">AVERAGE(B3:Q3)</f>
        <v>61.666666666666664</v>
      </c>
      <c r="S3" s="29"/>
      <c r="T3">
        <v>192</v>
      </c>
      <c r="V3" s="26"/>
      <c r="W3" s="27"/>
      <c r="X3" s="7" t="s">
        <v>83</v>
      </c>
      <c r="Y3" s="18">
        <f>R11</f>
        <v>70.333333333333329</v>
      </c>
      <c r="Z3" s="18">
        <f>R42</f>
        <v>64.733333333333334</v>
      </c>
      <c r="AA3" s="18">
        <f>R73</f>
        <v>72.466666666666669</v>
      </c>
    </row>
    <row r="4" spans="1:27" x14ac:dyDescent="0.2">
      <c r="A4" t="s">
        <v>5</v>
      </c>
      <c r="B4">
        <v>42</v>
      </c>
      <c r="C4">
        <v>72</v>
      </c>
      <c r="D4">
        <v>39</v>
      </c>
      <c r="E4">
        <v>44</v>
      </c>
      <c r="F4">
        <v>78</v>
      </c>
      <c r="G4">
        <v>52</v>
      </c>
      <c r="H4">
        <v>40</v>
      </c>
      <c r="I4">
        <v>62</v>
      </c>
      <c r="J4">
        <v>67</v>
      </c>
      <c r="K4">
        <v>76</v>
      </c>
      <c r="L4">
        <v>60</v>
      </c>
      <c r="M4">
        <v>64</v>
      </c>
      <c r="N4">
        <v>64</v>
      </c>
      <c r="O4">
        <v>88</v>
      </c>
      <c r="P4">
        <v>53</v>
      </c>
      <c r="R4" s="15">
        <f t="shared" si="0"/>
        <v>60.06666666666667</v>
      </c>
      <c r="S4" s="30"/>
      <c r="T4">
        <v>256</v>
      </c>
      <c r="V4" s="26"/>
      <c r="W4" s="27" t="s">
        <v>52</v>
      </c>
      <c r="X4" s="7" t="s">
        <v>53</v>
      </c>
      <c r="Y4" s="18">
        <f>R2</f>
        <v>52.733333333333334</v>
      </c>
      <c r="Z4" s="18">
        <f>R33</f>
        <v>56.93333333333333</v>
      </c>
      <c r="AA4" s="18">
        <f>R64</f>
        <v>51.2</v>
      </c>
    </row>
    <row r="5" spans="1:27" x14ac:dyDescent="0.2">
      <c r="A5" t="s">
        <v>6</v>
      </c>
      <c r="B5">
        <v>34</v>
      </c>
      <c r="C5">
        <v>65</v>
      </c>
      <c r="D5">
        <v>67</v>
      </c>
      <c r="E5">
        <v>67</v>
      </c>
      <c r="F5">
        <v>106</v>
      </c>
      <c r="G5">
        <v>56</v>
      </c>
      <c r="H5">
        <v>65</v>
      </c>
      <c r="I5">
        <v>66</v>
      </c>
      <c r="J5">
        <v>59</v>
      </c>
      <c r="K5">
        <v>68</v>
      </c>
      <c r="L5">
        <v>37</v>
      </c>
      <c r="M5">
        <v>90</v>
      </c>
      <c r="N5">
        <v>70</v>
      </c>
      <c r="O5">
        <v>70</v>
      </c>
      <c r="P5">
        <v>77</v>
      </c>
      <c r="R5" s="13">
        <f t="shared" si="0"/>
        <v>66.466666666666669</v>
      </c>
      <c r="S5" s="28" t="s">
        <v>55</v>
      </c>
      <c r="V5" s="26"/>
      <c r="W5" s="27"/>
      <c r="X5" s="7" t="s">
        <v>83</v>
      </c>
      <c r="Y5" s="18">
        <f>R5</f>
        <v>66.466666666666669</v>
      </c>
      <c r="Z5" s="18">
        <f>R36</f>
        <v>74.066666666666663</v>
      </c>
      <c r="AA5" s="18">
        <f>R67</f>
        <v>73</v>
      </c>
    </row>
    <row r="6" spans="1:27" x14ac:dyDescent="0.2">
      <c r="A6" t="s">
        <v>7</v>
      </c>
      <c r="B6">
        <v>59</v>
      </c>
      <c r="C6">
        <v>49</v>
      </c>
      <c r="D6">
        <v>153</v>
      </c>
      <c r="E6">
        <v>72</v>
      </c>
      <c r="F6">
        <v>76</v>
      </c>
      <c r="G6">
        <v>48</v>
      </c>
      <c r="H6">
        <v>95</v>
      </c>
      <c r="I6">
        <v>47</v>
      </c>
      <c r="J6">
        <v>73</v>
      </c>
      <c r="K6">
        <v>70</v>
      </c>
      <c r="L6">
        <v>59</v>
      </c>
      <c r="M6">
        <v>64</v>
      </c>
      <c r="N6">
        <v>39</v>
      </c>
      <c r="O6">
        <v>67</v>
      </c>
      <c r="P6">
        <v>76</v>
      </c>
      <c r="R6" s="14">
        <f t="shared" si="0"/>
        <v>69.8</v>
      </c>
      <c r="S6" s="29"/>
      <c r="V6" s="26">
        <v>192</v>
      </c>
      <c r="W6" s="27" t="s">
        <v>56</v>
      </c>
      <c r="X6" s="7" t="s">
        <v>53</v>
      </c>
      <c r="Y6" s="18">
        <f>R9</f>
        <v>62.8</v>
      </c>
      <c r="Z6" s="18">
        <f>R40</f>
        <v>64.86666666666666</v>
      </c>
      <c r="AA6" s="18">
        <f>R71</f>
        <v>64.333333333333329</v>
      </c>
    </row>
    <row r="7" spans="1:27" x14ac:dyDescent="0.2">
      <c r="A7" t="s">
        <v>8</v>
      </c>
      <c r="B7">
        <v>80</v>
      </c>
      <c r="C7">
        <v>55</v>
      </c>
      <c r="D7">
        <v>41</v>
      </c>
      <c r="E7">
        <v>57</v>
      </c>
      <c r="F7">
        <v>69</v>
      </c>
      <c r="G7">
        <v>69</v>
      </c>
      <c r="H7">
        <v>50</v>
      </c>
      <c r="I7">
        <v>73</v>
      </c>
      <c r="J7">
        <v>96</v>
      </c>
      <c r="K7">
        <v>55</v>
      </c>
      <c r="L7">
        <v>90</v>
      </c>
      <c r="M7">
        <v>73</v>
      </c>
      <c r="N7">
        <v>61</v>
      </c>
      <c r="O7">
        <v>67</v>
      </c>
      <c r="P7">
        <v>60</v>
      </c>
      <c r="R7" s="15">
        <f t="shared" si="0"/>
        <v>66.400000000000006</v>
      </c>
      <c r="S7" s="30"/>
      <c r="V7" s="26"/>
      <c r="W7" s="27"/>
      <c r="X7" s="7" t="s">
        <v>83</v>
      </c>
      <c r="Y7" s="18">
        <f>R12</f>
        <v>65.8</v>
      </c>
      <c r="Z7" s="18">
        <f>R43</f>
        <v>70.2</v>
      </c>
      <c r="AA7" s="18">
        <f>R74</f>
        <v>64.666666666666671</v>
      </c>
    </row>
    <row r="8" spans="1:27" x14ac:dyDescent="0.2">
      <c r="A8" t="s">
        <v>9</v>
      </c>
      <c r="B8">
        <v>72</v>
      </c>
      <c r="C8">
        <v>40</v>
      </c>
      <c r="D8">
        <v>41</v>
      </c>
      <c r="E8">
        <v>85</v>
      </c>
      <c r="F8">
        <v>66</v>
      </c>
      <c r="G8">
        <v>69</v>
      </c>
      <c r="H8">
        <v>48</v>
      </c>
      <c r="I8">
        <v>22</v>
      </c>
      <c r="J8">
        <v>82</v>
      </c>
      <c r="K8">
        <v>92</v>
      </c>
      <c r="L8">
        <v>47</v>
      </c>
      <c r="M8">
        <v>47</v>
      </c>
      <c r="N8">
        <v>72</v>
      </c>
      <c r="O8">
        <v>71</v>
      </c>
      <c r="P8">
        <v>65</v>
      </c>
      <c r="R8" s="13">
        <f t="shared" si="0"/>
        <v>61.266666666666666</v>
      </c>
      <c r="S8" s="28" t="s">
        <v>57</v>
      </c>
      <c r="V8" s="26"/>
      <c r="W8" s="27" t="s">
        <v>52</v>
      </c>
      <c r="X8" s="7" t="s">
        <v>53</v>
      </c>
      <c r="Y8" s="18">
        <f>R3</f>
        <v>61.666666666666664</v>
      </c>
      <c r="Z8" s="18">
        <f>R34</f>
        <v>65.933333333333337</v>
      </c>
      <c r="AA8" s="18">
        <f>R65</f>
        <v>72.2</v>
      </c>
    </row>
    <row r="9" spans="1:27" x14ac:dyDescent="0.2">
      <c r="A9" t="s">
        <v>10</v>
      </c>
      <c r="B9">
        <v>29</v>
      </c>
      <c r="C9">
        <v>91</v>
      </c>
      <c r="D9">
        <v>87</v>
      </c>
      <c r="E9">
        <v>43</v>
      </c>
      <c r="F9">
        <v>83</v>
      </c>
      <c r="G9">
        <v>55</v>
      </c>
      <c r="H9">
        <v>37</v>
      </c>
      <c r="I9">
        <v>62</v>
      </c>
      <c r="J9">
        <v>79</v>
      </c>
      <c r="K9">
        <v>75</v>
      </c>
      <c r="L9">
        <v>34</v>
      </c>
      <c r="M9">
        <v>67</v>
      </c>
      <c r="N9">
        <v>67</v>
      </c>
      <c r="O9">
        <v>71</v>
      </c>
      <c r="P9">
        <v>62</v>
      </c>
      <c r="R9" s="14">
        <f t="shared" si="0"/>
        <v>62.8</v>
      </c>
      <c r="S9" s="29"/>
      <c r="V9" s="26"/>
      <c r="W9" s="27"/>
      <c r="X9" s="7" t="s">
        <v>83</v>
      </c>
      <c r="Y9" s="18">
        <f>R6</f>
        <v>69.8</v>
      </c>
      <c r="Z9" s="18">
        <f>R37</f>
        <v>62.333333333333336</v>
      </c>
      <c r="AA9" s="18">
        <f>R68</f>
        <v>64</v>
      </c>
    </row>
    <row r="10" spans="1:27" x14ac:dyDescent="0.2">
      <c r="A10" t="s">
        <v>11</v>
      </c>
      <c r="B10">
        <v>95</v>
      </c>
      <c r="C10">
        <v>64</v>
      </c>
      <c r="D10">
        <v>55</v>
      </c>
      <c r="E10">
        <v>20</v>
      </c>
      <c r="F10">
        <v>77</v>
      </c>
      <c r="G10">
        <v>73</v>
      </c>
      <c r="H10">
        <v>99</v>
      </c>
      <c r="I10">
        <v>66</v>
      </c>
      <c r="J10">
        <v>80</v>
      </c>
      <c r="K10">
        <v>92</v>
      </c>
      <c r="L10">
        <v>92</v>
      </c>
      <c r="M10">
        <v>67</v>
      </c>
      <c r="N10">
        <v>70</v>
      </c>
      <c r="O10">
        <v>91</v>
      </c>
      <c r="P10">
        <v>73</v>
      </c>
      <c r="R10" s="15">
        <f t="shared" si="0"/>
        <v>74.266666666666666</v>
      </c>
      <c r="S10" s="30"/>
      <c r="V10" s="26">
        <v>256</v>
      </c>
      <c r="W10" s="27" t="s">
        <v>56</v>
      </c>
      <c r="X10" s="7" t="s">
        <v>53</v>
      </c>
      <c r="Y10" s="18">
        <f>R10</f>
        <v>74.266666666666666</v>
      </c>
      <c r="Z10" s="18">
        <f>R41</f>
        <v>62.733333333333334</v>
      </c>
      <c r="AA10" s="18">
        <f>R72</f>
        <v>65.599999999999994</v>
      </c>
    </row>
    <row r="11" spans="1:27" x14ac:dyDescent="0.2">
      <c r="A11" t="s">
        <v>12</v>
      </c>
      <c r="B11">
        <v>25</v>
      </c>
      <c r="C11">
        <v>82</v>
      </c>
      <c r="D11">
        <v>89</v>
      </c>
      <c r="E11">
        <v>74</v>
      </c>
      <c r="F11">
        <v>80</v>
      </c>
      <c r="G11">
        <v>44</v>
      </c>
      <c r="H11">
        <v>91</v>
      </c>
      <c r="I11">
        <v>64</v>
      </c>
      <c r="J11">
        <v>74</v>
      </c>
      <c r="K11">
        <v>94</v>
      </c>
      <c r="L11">
        <v>62</v>
      </c>
      <c r="M11">
        <v>57</v>
      </c>
      <c r="N11">
        <v>73</v>
      </c>
      <c r="O11">
        <v>75</v>
      </c>
      <c r="P11">
        <v>71</v>
      </c>
      <c r="R11" s="13">
        <f t="shared" si="0"/>
        <v>70.333333333333329</v>
      </c>
      <c r="S11" s="28" t="s">
        <v>58</v>
      </c>
      <c r="V11" s="26"/>
      <c r="W11" s="27"/>
      <c r="X11" s="7" t="s">
        <v>83</v>
      </c>
      <c r="Y11" s="18">
        <f>R13</f>
        <v>71.466666666666669</v>
      </c>
      <c r="Z11" s="18">
        <f>R44</f>
        <v>62.2</v>
      </c>
      <c r="AA11" s="18">
        <f>R75</f>
        <v>74.86666666666666</v>
      </c>
    </row>
    <row r="12" spans="1:27" x14ac:dyDescent="0.2">
      <c r="A12" t="s">
        <v>13</v>
      </c>
      <c r="B12">
        <v>35</v>
      </c>
      <c r="C12">
        <v>81</v>
      </c>
      <c r="D12">
        <v>34</v>
      </c>
      <c r="E12">
        <v>71</v>
      </c>
      <c r="F12">
        <v>71</v>
      </c>
      <c r="G12">
        <v>75</v>
      </c>
      <c r="H12">
        <v>74</v>
      </c>
      <c r="I12">
        <v>82</v>
      </c>
      <c r="J12">
        <v>66</v>
      </c>
      <c r="K12">
        <v>63</v>
      </c>
      <c r="L12">
        <v>47</v>
      </c>
      <c r="M12">
        <v>70</v>
      </c>
      <c r="N12">
        <v>74</v>
      </c>
      <c r="O12">
        <v>67</v>
      </c>
      <c r="P12">
        <v>77</v>
      </c>
      <c r="R12" s="14">
        <f t="shared" si="0"/>
        <v>65.8</v>
      </c>
      <c r="S12" s="29"/>
      <c r="V12" s="26"/>
      <c r="W12" s="27" t="s">
        <v>52</v>
      </c>
      <c r="X12" s="7" t="s">
        <v>53</v>
      </c>
      <c r="Y12" s="18">
        <f>R4</f>
        <v>60.06666666666667</v>
      </c>
      <c r="Z12" s="18">
        <f>R35</f>
        <v>62.733333333333334</v>
      </c>
      <c r="AA12" s="18">
        <f>R66</f>
        <v>68.400000000000006</v>
      </c>
    </row>
    <row r="13" spans="1:27" x14ac:dyDescent="0.2">
      <c r="A13" t="s">
        <v>14</v>
      </c>
      <c r="B13">
        <v>39</v>
      </c>
      <c r="C13">
        <v>48</v>
      </c>
      <c r="D13">
        <v>66</v>
      </c>
      <c r="E13">
        <v>94</v>
      </c>
      <c r="F13">
        <v>80</v>
      </c>
      <c r="G13">
        <v>46</v>
      </c>
      <c r="H13">
        <v>99</v>
      </c>
      <c r="I13">
        <v>72</v>
      </c>
      <c r="J13">
        <v>80</v>
      </c>
      <c r="K13">
        <v>86</v>
      </c>
      <c r="L13">
        <v>70</v>
      </c>
      <c r="M13">
        <v>72</v>
      </c>
      <c r="N13">
        <v>70</v>
      </c>
      <c r="O13">
        <v>77</v>
      </c>
      <c r="P13">
        <v>73</v>
      </c>
      <c r="R13" s="15">
        <f t="shared" si="0"/>
        <v>71.466666666666669</v>
      </c>
      <c r="S13" s="30"/>
      <c r="V13" s="26"/>
      <c r="W13" s="27"/>
      <c r="X13" s="7" t="s">
        <v>83</v>
      </c>
      <c r="Y13" s="18">
        <f>R7</f>
        <v>66.400000000000006</v>
      </c>
      <c r="Z13" s="18">
        <f>R38</f>
        <v>63.666666666666664</v>
      </c>
      <c r="AA13" s="18">
        <f>R69</f>
        <v>63.8</v>
      </c>
    </row>
    <row r="16" spans="1:27" x14ac:dyDescent="0.2">
      <c r="A16" s="1" t="s">
        <v>0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/>
      <c r="M16" s="1"/>
      <c r="N16" s="1"/>
      <c r="O16" s="1"/>
      <c r="P16" s="1"/>
      <c r="R16" s="4" t="s">
        <v>51</v>
      </c>
      <c r="V16" s="2" t="s">
        <v>84</v>
      </c>
      <c r="Y16" s="8">
        <v>10</v>
      </c>
      <c r="Z16" s="8">
        <v>100</v>
      </c>
      <c r="AA16" s="8">
        <v>200</v>
      </c>
    </row>
    <row r="17" spans="1:27" x14ac:dyDescent="0.2">
      <c r="A17" t="s">
        <v>15</v>
      </c>
      <c r="B17">
        <v>77</v>
      </c>
      <c r="C17">
        <v>31</v>
      </c>
      <c r="D17">
        <v>78</v>
      </c>
      <c r="E17">
        <v>30</v>
      </c>
      <c r="F17">
        <v>31</v>
      </c>
      <c r="G17">
        <v>58</v>
      </c>
      <c r="H17">
        <v>37</v>
      </c>
      <c r="I17">
        <v>30</v>
      </c>
      <c r="J17">
        <v>69</v>
      </c>
      <c r="K17">
        <v>75</v>
      </c>
      <c r="R17" s="13">
        <f t="shared" ref="R17:R28" si="1">AVERAGE(B17:Q17)</f>
        <v>51.6</v>
      </c>
      <c r="S17" s="28" t="s">
        <v>54</v>
      </c>
      <c r="V17" s="26">
        <v>128</v>
      </c>
      <c r="W17" s="27" t="s">
        <v>56</v>
      </c>
      <c r="X17" s="7" t="s">
        <v>53</v>
      </c>
      <c r="Y17" s="18">
        <f>R23</f>
        <v>64.8</v>
      </c>
      <c r="Z17" s="18">
        <f>R54</f>
        <v>66</v>
      </c>
      <c r="AA17" s="18">
        <f>R85</f>
        <v>61.2</v>
      </c>
    </row>
    <row r="18" spans="1:27" x14ac:dyDescent="0.2">
      <c r="A18" t="s">
        <v>16</v>
      </c>
      <c r="B18">
        <v>66</v>
      </c>
      <c r="C18">
        <v>59</v>
      </c>
      <c r="D18">
        <v>70</v>
      </c>
      <c r="E18">
        <v>64</v>
      </c>
      <c r="F18">
        <v>86</v>
      </c>
      <c r="G18">
        <v>62</v>
      </c>
      <c r="H18">
        <v>29</v>
      </c>
      <c r="I18">
        <v>76</v>
      </c>
      <c r="J18">
        <v>36</v>
      </c>
      <c r="K18">
        <v>93</v>
      </c>
      <c r="R18" s="14">
        <f t="shared" si="1"/>
        <v>64.099999999999994</v>
      </c>
      <c r="S18" s="29"/>
      <c r="V18" s="26"/>
      <c r="W18" s="27"/>
      <c r="X18" s="7" t="s">
        <v>83</v>
      </c>
      <c r="Y18" s="18">
        <f>R26</f>
        <v>59.2</v>
      </c>
      <c r="Z18" s="18">
        <f>R57</f>
        <v>62</v>
      </c>
      <c r="AA18" s="18">
        <f>R88</f>
        <v>65.2</v>
      </c>
    </row>
    <row r="19" spans="1:27" x14ac:dyDescent="0.2">
      <c r="A19" t="s">
        <v>17</v>
      </c>
      <c r="B19">
        <v>73</v>
      </c>
      <c r="C19">
        <v>77</v>
      </c>
      <c r="D19">
        <v>75</v>
      </c>
      <c r="E19">
        <v>88</v>
      </c>
      <c r="F19">
        <v>66</v>
      </c>
      <c r="G19">
        <v>84</v>
      </c>
      <c r="H19">
        <v>24</v>
      </c>
      <c r="I19">
        <v>18</v>
      </c>
      <c r="J19">
        <v>76</v>
      </c>
      <c r="K19">
        <v>82</v>
      </c>
      <c r="R19" s="15">
        <f t="shared" si="1"/>
        <v>66.3</v>
      </c>
      <c r="S19" s="30"/>
      <c r="V19" s="26"/>
      <c r="W19" s="27" t="s">
        <v>52</v>
      </c>
      <c r="X19" s="7" t="s">
        <v>53</v>
      </c>
      <c r="Y19" s="18">
        <f>R17</f>
        <v>51.6</v>
      </c>
      <c r="Z19" s="18">
        <f>R48</f>
        <v>54.7</v>
      </c>
      <c r="AA19" s="18">
        <f>R79</f>
        <v>57.4</v>
      </c>
    </row>
    <row r="20" spans="1:27" x14ac:dyDescent="0.2">
      <c r="A20" t="s">
        <v>18</v>
      </c>
      <c r="B20">
        <v>61</v>
      </c>
      <c r="C20">
        <v>68</v>
      </c>
      <c r="D20">
        <v>73</v>
      </c>
      <c r="E20">
        <v>74</v>
      </c>
      <c r="F20">
        <v>88</v>
      </c>
      <c r="G20">
        <v>81</v>
      </c>
      <c r="H20">
        <v>86</v>
      </c>
      <c r="I20">
        <v>75</v>
      </c>
      <c r="J20">
        <v>88</v>
      </c>
      <c r="K20">
        <v>44</v>
      </c>
      <c r="R20" s="13">
        <f t="shared" si="1"/>
        <v>73.8</v>
      </c>
      <c r="S20" s="28" t="s">
        <v>55</v>
      </c>
      <c r="V20" s="26"/>
      <c r="W20" s="27"/>
      <c r="X20" s="7" t="s">
        <v>83</v>
      </c>
      <c r="Y20" s="18">
        <f>R20</f>
        <v>73.8</v>
      </c>
      <c r="Z20" s="18">
        <f>R51</f>
        <v>71</v>
      </c>
      <c r="AA20" s="18">
        <f>R82</f>
        <v>58.2</v>
      </c>
    </row>
    <row r="21" spans="1:27" x14ac:dyDescent="0.2">
      <c r="A21" t="s">
        <v>19</v>
      </c>
      <c r="B21">
        <v>82</v>
      </c>
      <c r="C21">
        <v>47</v>
      </c>
      <c r="D21">
        <v>47</v>
      </c>
      <c r="E21">
        <v>74</v>
      </c>
      <c r="F21">
        <v>74</v>
      </c>
      <c r="G21">
        <v>34</v>
      </c>
      <c r="H21">
        <v>49</v>
      </c>
      <c r="I21">
        <v>64</v>
      </c>
      <c r="J21">
        <v>80</v>
      </c>
      <c r="K21">
        <v>66</v>
      </c>
      <c r="R21" s="14">
        <f t="shared" si="1"/>
        <v>61.7</v>
      </c>
      <c r="S21" s="29"/>
      <c r="V21" s="26">
        <v>192</v>
      </c>
      <c r="W21" s="27" t="s">
        <v>56</v>
      </c>
      <c r="X21" s="7" t="s">
        <v>53</v>
      </c>
      <c r="Y21" s="18">
        <f>R24</f>
        <v>61.5</v>
      </c>
      <c r="Z21" s="18">
        <f>R55</f>
        <v>61.5</v>
      </c>
      <c r="AA21" s="18">
        <f>R86</f>
        <v>65.099999999999994</v>
      </c>
    </row>
    <row r="22" spans="1:27" x14ac:dyDescent="0.2">
      <c r="A22" t="s">
        <v>20</v>
      </c>
      <c r="B22">
        <v>74</v>
      </c>
      <c r="C22">
        <v>73</v>
      </c>
      <c r="D22">
        <v>27</v>
      </c>
      <c r="E22">
        <v>31</v>
      </c>
      <c r="F22">
        <v>90</v>
      </c>
      <c r="G22">
        <v>56</v>
      </c>
      <c r="H22">
        <v>91</v>
      </c>
      <c r="I22">
        <v>71</v>
      </c>
      <c r="J22">
        <v>87</v>
      </c>
      <c r="K22">
        <v>66</v>
      </c>
      <c r="R22" s="15">
        <f t="shared" si="1"/>
        <v>66.599999999999994</v>
      </c>
      <c r="S22" s="30"/>
      <c r="V22" s="26"/>
      <c r="W22" s="27"/>
      <c r="X22" s="7" t="s">
        <v>83</v>
      </c>
      <c r="Y22" s="18">
        <f>R27</f>
        <v>69.400000000000006</v>
      </c>
      <c r="Z22" s="18">
        <f>R58</f>
        <v>52.8</v>
      </c>
      <c r="AA22" s="18">
        <f>R89</f>
        <v>65.5</v>
      </c>
    </row>
    <row r="23" spans="1:27" x14ac:dyDescent="0.2">
      <c r="A23" t="s">
        <v>21</v>
      </c>
      <c r="B23">
        <v>64</v>
      </c>
      <c r="C23">
        <v>78</v>
      </c>
      <c r="D23">
        <v>82</v>
      </c>
      <c r="E23">
        <v>73</v>
      </c>
      <c r="F23">
        <v>75</v>
      </c>
      <c r="G23">
        <v>24</v>
      </c>
      <c r="H23">
        <v>26</v>
      </c>
      <c r="I23">
        <v>75</v>
      </c>
      <c r="J23">
        <v>71</v>
      </c>
      <c r="K23">
        <v>80</v>
      </c>
      <c r="R23" s="13">
        <f t="shared" si="1"/>
        <v>64.8</v>
      </c>
      <c r="S23" s="28" t="s">
        <v>57</v>
      </c>
      <c r="V23" s="26"/>
      <c r="W23" s="27" t="s">
        <v>52</v>
      </c>
      <c r="X23" s="7" t="s">
        <v>53</v>
      </c>
      <c r="Y23" s="18">
        <f>R18</f>
        <v>64.099999999999994</v>
      </c>
      <c r="Z23" s="18">
        <f>R49</f>
        <v>74.099999999999994</v>
      </c>
      <c r="AA23" s="18">
        <f>R80</f>
        <v>61.4</v>
      </c>
    </row>
    <row r="24" spans="1:27" x14ac:dyDescent="0.2">
      <c r="A24" t="s">
        <v>22</v>
      </c>
      <c r="B24">
        <v>105</v>
      </c>
      <c r="C24">
        <v>72</v>
      </c>
      <c r="D24">
        <v>82</v>
      </c>
      <c r="E24">
        <v>44</v>
      </c>
      <c r="F24">
        <v>72</v>
      </c>
      <c r="G24">
        <v>34</v>
      </c>
      <c r="H24">
        <v>20</v>
      </c>
      <c r="I24">
        <v>75</v>
      </c>
      <c r="J24">
        <v>68</v>
      </c>
      <c r="K24">
        <v>43</v>
      </c>
      <c r="R24" s="14">
        <f t="shared" si="1"/>
        <v>61.5</v>
      </c>
      <c r="S24" s="29"/>
      <c r="V24" s="26"/>
      <c r="W24" s="27"/>
      <c r="X24" s="7" t="s">
        <v>83</v>
      </c>
      <c r="Y24" s="18">
        <f>R21</f>
        <v>61.7</v>
      </c>
      <c r="Z24" s="18">
        <f>R52</f>
        <v>66.2</v>
      </c>
      <c r="AA24" s="18">
        <f>R83</f>
        <v>71.8</v>
      </c>
    </row>
    <row r="25" spans="1:27" x14ac:dyDescent="0.2">
      <c r="A25" t="s">
        <v>23</v>
      </c>
      <c r="B25">
        <v>74</v>
      </c>
      <c r="C25">
        <v>29</v>
      </c>
      <c r="D25">
        <v>64</v>
      </c>
      <c r="E25">
        <v>77</v>
      </c>
      <c r="F25">
        <v>67</v>
      </c>
      <c r="G25">
        <v>63</v>
      </c>
      <c r="H25">
        <v>50</v>
      </c>
      <c r="I25">
        <v>55</v>
      </c>
      <c r="J25">
        <v>87</v>
      </c>
      <c r="K25">
        <v>49</v>
      </c>
      <c r="R25" s="15">
        <f t="shared" si="1"/>
        <v>61.5</v>
      </c>
      <c r="S25" s="30"/>
      <c r="V25" s="26">
        <v>256</v>
      </c>
      <c r="W25" s="27" t="s">
        <v>56</v>
      </c>
      <c r="X25" s="7" t="s">
        <v>53</v>
      </c>
      <c r="Y25" s="18">
        <f>R25</f>
        <v>61.5</v>
      </c>
      <c r="Z25" s="18">
        <f>R56</f>
        <v>66.400000000000006</v>
      </c>
      <c r="AA25" s="18">
        <f>R87</f>
        <v>62.6</v>
      </c>
    </row>
    <row r="26" spans="1:27" x14ac:dyDescent="0.2">
      <c r="A26" t="s">
        <v>24</v>
      </c>
      <c r="B26">
        <v>66</v>
      </c>
      <c r="C26">
        <v>21</v>
      </c>
      <c r="D26">
        <v>48</v>
      </c>
      <c r="E26">
        <v>88</v>
      </c>
      <c r="F26">
        <v>67</v>
      </c>
      <c r="G26">
        <v>25</v>
      </c>
      <c r="H26">
        <v>52</v>
      </c>
      <c r="I26">
        <v>72</v>
      </c>
      <c r="J26">
        <v>82</v>
      </c>
      <c r="K26">
        <v>71</v>
      </c>
      <c r="R26" s="13">
        <f t="shared" si="1"/>
        <v>59.2</v>
      </c>
      <c r="S26" s="28" t="s">
        <v>58</v>
      </c>
      <c r="V26" s="26"/>
      <c r="W26" s="27"/>
      <c r="X26" s="7" t="s">
        <v>83</v>
      </c>
      <c r="Y26" s="18">
        <f>R28</f>
        <v>54.2</v>
      </c>
      <c r="Z26" s="18">
        <f>R59</f>
        <v>67.3</v>
      </c>
      <c r="AA26" s="18">
        <f>R90</f>
        <v>74.3</v>
      </c>
    </row>
    <row r="27" spans="1:27" x14ac:dyDescent="0.2">
      <c r="A27" t="s">
        <v>25</v>
      </c>
      <c r="B27">
        <v>61</v>
      </c>
      <c r="C27">
        <v>58</v>
      </c>
      <c r="D27">
        <v>70</v>
      </c>
      <c r="E27">
        <v>88</v>
      </c>
      <c r="F27">
        <v>86</v>
      </c>
      <c r="G27">
        <v>47</v>
      </c>
      <c r="H27">
        <v>43</v>
      </c>
      <c r="I27">
        <v>108</v>
      </c>
      <c r="J27">
        <v>77</v>
      </c>
      <c r="K27">
        <v>56</v>
      </c>
      <c r="R27" s="14">
        <f t="shared" si="1"/>
        <v>69.400000000000006</v>
      </c>
      <c r="S27" s="29"/>
      <c r="V27" s="26"/>
      <c r="W27" s="27" t="s">
        <v>52</v>
      </c>
      <c r="X27" s="7" t="s">
        <v>53</v>
      </c>
      <c r="Y27" s="18">
        <f>R19</f>
        <v>66.3</v>
      </c>
      <c r="Z27" s="18">
        <f>R50</f>
        <v>74.099999999999994</v>
      </c>
      <c r="AA27" s="18">
        <f>R81</f>
        <v>73.5</v>
      </c>
    </row>
    <row r="28" spans="1:27" x14ac:dyDescent="0.2">
      <c r="A28" t="s">
        <v>26</v>
      </c>
      <c r="B28">
        <v>49</v>
      </c>
      <c r="C28">
        <v>47</v>
      </c>
      <c r="D28">
        <v>43</v>
      </c>
      <c r="E28">
        <v>80</v>
      </c>
      <c r="F28">
        <v>67</v>
      </c>
      <c r="G28">
        <v>57</v>
      </c>
      <c r="H28">
        <v>33</v>
      </c>
      <c r="I28">
        <v>54</v>
      </c>
      <c r="J28">
        <v>68</v>
      </c>
      <c r="K28">
        <v>44</v>
      </c>
      <c r="R28" s="15">
        <f t="shared" si="1"/>
        <v>54.2</v>
      </c>
      <c r="S28" s="30"/>
      <c r="V28" s="26"/>
      <c r="W28" s="27"/>
      <c r="X28" s="7" t="s">
        <v>83</v>
      </c>
      <c r="Y28" s="18">
        <f>R22</f>
        <v>66.599999999999994</v>
      </c>
      <c r="Z28" s="18">
        <f>R53</f>
        <v>59.7</v>
      </c>
      <c r="AA28" s="18">
        <f>R84</f>
        <v>65.599999999999994</v>
      </c>
    </row>
    <row r="30" spans="1:27" x14ac:dyDescent="0.2">
      <c r="A30" s="2">
        <v>100</v>
      </c>
    </row>
    <row r="32" spans="1:27" x14ac:dyDescent="0.2">
      <c r="A32" s="1" t="s">
        <v>0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/>
      <c r="M32" s="1"/>
      <c r="N32" s="1"/>
      <c r="O32" s="1"/>
      <c r="P32" s="1"/>
      <c r="R32" s="4" t="s">
        <v>51</v>
      </c>
    </row>
    <row r="33" spans="1:19" x14ac:dyDescent="0.2">
      <c r="A33" t="s">
        <v>27</v>
      </c>
      <c r="B33">
        <v>54</v>
      </c>
      <c r="C33">
        <v>73</v>
      </c>
      <c r="D33">
        <v>63</v>
      </c>
      <c r="E33">
        <v>50</v>
      </c>
      <c r="F33">
        <v>77</v>
      </c>
      <c r="G33">
        <v>26</v>
      </c>
      <c r="H33">
        <v>49</v>
      </c>
      <c r="I33">
        <v>30</v>
      </c>
      <c r="J33">
        <v>47</v>
      </c>
      <c r="K33">
        <v>83</v>
      </c>
      <c r="L33">
        <v>29</v>
      </c>
      <c r="M33">
        <v>31</v>
      </c>
      <c r="N33">
        <v>79</v>
      </c>
      <c r="O33">
        <v>81</v>
      </c>
      <c r="P33">
        <v>82</v>
      </c>
      <c r="R33" s="13">
        <f t="shared" ref="R33:R44" si="2">AVERAGE(B33:Q33)</f>
        <v>56.93333333333333</v>
      </c>
      <c r="S33" s="28" t="s">
        <v>54</v>
      </c>
    </row>
    <row r="34" spans="1:19" x14ac:dyDescent="0.2">
      <c r="A34" t="s">
        <v>28</v>
      </c>
      <c r="B34">
        <v>62</v>
      </c>
      <c r="C34">
        <v>76</v>
      </c>
      <c r="D34">
        <v>62</v>
      </c>
      <c r="E34">
        <v>47</v>
      </c>
      <c r="F34">
        <v>107</v>
      </c>
      <c r="G34">
        <v>50</v>
      </c>
      <c r="H34">
        <v>97</v>
      </c>
      <c r="I34">
        <v>47</v>
      </c>
      <c r="J34">
        <v>71</v>
      </c>
      <c r="K34">
        <v>63</v>
      </c>
      <c r="L34">
        <v>62</v>
      </c>
      <c r="M34">
        <v>47</v>
      </c>
      <c r="N34">
        <v>55</v>
      </c>
      <c r="O34">
        <v>65</v>
      </c>
      <c r="P34">
        <v>78</v>
      </c>
      <c r="R34" s="14">
        <f t="shared" si="2"/>
        <v>65.933333333333337</v>
      </c>
      <c r="S34" s="29"/>
    </row>
    <row r="35" spans="1:19" x14ac:dyDescent="0.2">
      <c r="A35" t="s">
        <v>29</v>
      </c>
      <c r="B35">
        <v>23</v>
      </c>
      <c r="C35">
        <v>42</v>
      </c>
      <c r="D35">
        <v>122</v>
      </c>
      <c r="E35">
        <v>86</v>
      </c>
      <c r="F35">
        <v>54</v>
      </c>
      <c r="G35">
        <v>23</v>
      </c>
      <c r="H35">
        <v>58</v>
      </c>
      <c r="I35">
        <v>92</v>
      </c>
      <c r="J35">
        <v>56</v>
      </c>
      <c r="K35">
        <v>63</v>
      </c>
      <c r="L35">
        <v>62</v>
      </c>
      <c r="M35">
        <v>73</v>
      </c>
      <c r="N35">
        <v>78</v>
      </c>
      <c r="O35">
        <v>53</v>
      </c>
      <c r="P35">
        <v>56</v>
      </c>
      <c r="R35" s="15">
        <f t="shared" si="2"/>
        <v>62.733333333333334</v>
      </c>
      <c r="S35" s="30"/>
    </row>
    <row r="36" spans="1:19" x14ac:dyDescent="0.2">
      <c r="A36" t="s">
        <v>30</v>
      </c>
      <c r="B36">
        <v>82</v>
      </c>
      <c r="C36">
        <v>59</v>
      </c>
      <c r="D36">
        <v>58</v>
      </c>
      <c r="E36">
        <v>98</v>
      </c>
      <c r="F36">
        <v>103</v>
      </c>
      <c r="G36">
        <v>49</v>
      </c>
      <c r="H36">
        <v>87</v>
      </c>
      <c r="I36">
        <v>52</v>
      </c>
      <c r="J36">
        <v>102</v>
      </c>
      <c r="K36">
        <v>86</v>
      </c>
      <c r="L36">
        <v>93</v>
      </c>
      <c r="M36">
        <v>72</v>
      </c>
      <c r="N36">
        <v>62</v>
      </c>
      <c r="O36">
        <v>65</v>
      </c>
      <c r="P36">
        <v>43</v>
      </c>
      <c r="R36" s="13">
        <f t="shared" si="2"/>
        <v>74.066666666666663</v>
      </c>
      <c r="S36" s="28" t="s">
        <v>55</v>
      </c>
    </row>
    <row r="37" spans="1:19" x14ac:dyDescent="0.2">
      <c r="A37" t="s">
        <v>31</v>
      </c>
      <c r="B37">
        <v>73</v>
      </c>
      <c r="C37">
        <v>49</v>
      </c>
      <c r="D37">
        <v>28</v>
      </c>
      <c r="E37">
        <v>57</v>
      </c>
      <c r="F37">
        <v>62</v>
      </c>
      <c r="G37">
        <v>23</v>
      </c>
      <c r="H37">
        <v>91</v>
      </c>
      <c r="I37">
        <v>85</v>
      </c>
      <c r="J37">
        <v>89</v>
      </c>
      <c r="K37">
        <v>77</v>
      </c>
      <c r="L37">
        <v>49</v>
      </c>
      <c r="M37">
        <v>74</v>
      </c>
      <c r="N37">
        <v>64</v>
      </c>
      <c r="O37">
        <v>60</v>
      </c>
      <c r="P37">
        <v>54</v>
      </c>
      <c r="R37" s="14">
        <f t="shared" si="2"/>
        <v>62.333333333333336</v>
      </c>
      <c r="S37" s="29"/>
    </row>
    <row r="38" spans="1:19" x14ac:dyDescent="0.2">
      <c r="A38" t="s">
        <v>32</v>
      </c>
      <c r="B38">
        <v>77</v>
      </c>
      <c r="C38">
        <v>49</v>
      </c>
      <c r="D38">
        <v>47</v>
      </c>
      <c r="E38">
        <v>59</v>
      </c>
      <c r="F38">
        <v>78</v>
      </c>
      <c r="G38">
        <v>39</v>
      </c>
      <c r="H38">
        <v>43</v>
      </c>
      <c r="I38">
        <v>60</v>
      </c>
      <c r="J38">
        <v>76</v>
      </c>
      <c r="K38">
        <v>75</v>
      </c>
      <c r="L38">
        <v>63</v>
      </c>
      <c r="M38">
        <v>92</v>
      </c>
      <c r="N38">
        <v>70</v>
      </c>
      <c r="O38">
        <v>60</v>
      </c>
      <c r="P38">
        <v>67</v>
      </c>
      <c r="R38" s="15">
        <f t="shared" si="2"/>
        <v>63.666666666666664</v>
      </c>
      <c r="S38" s="30"/>
    </row>
    <row r="39" spans="1:19" x14ac:dyDescent="0.2">
      <c r="A39" t="s">
        <v>33</v>
      </c>
      <c r="B39">
        <v>46</v>
      </c>
      <c r="C39">
        <v>67</v>
      </c>
      <c r="D39">
        <v>54</v>
      </c>
      <c r="E39">
        <v>72</v>
      </c>
      <c r="F39">
        <v>86</v>
      </c>
      <c r="G39">
        <v>45</v>
      </c>
      <c r="H39">
        <v>70</v>
      </c>
      <c r="I39">
        <v>60</v>
      </c>
      <c r="J39">
        <v>67</v>
      </c>
      <c r="K39">
        <v>62</v>
      </c>
      <c r="L39">
        <v>66</v>
      </c>
      <c r="M39">
        <v>62</v>
      </c>
      <c r="N39">
        <v>45</v>
      </c>
      <c r="O39">
        <v>61</v>
      </c>
      <c r="P39">
        <v>77</v>
      </c>
      <c r="R39" s="13">
        <f t="shared" si="2"/>
        <v>62.666666666666664</v>
      </c>
      <c r="S39" s="28" t="s">
        <v>57</v>
      </c>
    </row>
    <row r="40" spans="1:19" x14ac:dyDescent="0.2">
      <c r="A40" t="s">
        <v>34</v>
      </c>
      <c r="B40">
        <v>49</v>
      </c>
      <c r="C40">
        <v>49</v>
      </c>
      <c r="D40">
        <v>59</v>
      </c>
      <c r="E40">
        <v>43</v>
      </c>
      <c r="F40">
        <v>77</v>
      </c>
      <c r="G40">
        <v>112</v>
      </c>
      <c r="H40">
        <v>38</v>
      </c>
      <c r="I40">
        <v>61</v>
      </c>
      <c r="J40">
        <v>70</v>
      </c>
      <c r="K40">
        <v>67</v>
      </c>
      <c r="L40">
        <v>70</v>
      </c>
      <c r="M40">
        <v>63</v>
      </c>
      <c r="N40">
        <v>48</v>
      </c>
      <c r="O40">
        <v>61</v>
      </c>
      <c r="P40">
        <v>106</v>
      </c>
      <c r="R40" s="14">
        <f t="shared" si="2"/>
        <v>64.86666666666666</v>
      </c>
      <c r="S40" s="29"/>
    </row>
    <row r="41" spans="1:19" x14ac:dyDescent="0.2">
      <c r="A41" t="s">
        <v>35</v>
      </c>
      <c r="B41">
        <v>76</v>
      </c>
      <c r="C41">
        <v>61</v>
      </c>
      <c r="D41">
        <v>31</v>
      </c>
      <c r="E41">
        <v>70</v>
      </c>
      <c r="F41">
        <v>67</v>
      </c>
      <c r="G41">
        <v>31</v>
      </c>
      <c r="H41">
        <v>85</v>
      </c>
      <c r="I41">
        <v>77</v>
      </c>
      <c r="J41">
        <v>62</v>
      </c>
      <c r="K41">
        <v>58</v>
      </c>
      <c r="L41">
        <v>63</v>
      </c>
      <c r="M41">
        <v>56</v>
      </c>
      <c r="N41">
        <v>41</v>
      </c>
      <c r="O41">
        <v>48</v>
      </c>
      <c r="P41">
        <v>115</v>
      </c>
      <c r="R41" s="15">
        <f t="shared" si="2"/>
        <v>62.733333333333334</v>
      </c>
      <c r="S41" s="30"/>
    </row>
    <row r="42" spans="1:19" x14ac:dyDescent="0.2">
      <c r="A42" t="s">
        <v>36</v>
      </c>
      <c r="B42">
        <v>105</v>
      </c>
      <c r="C42">
        <v>55</v>
      </c>
      <c r="D42">
        <v>45</v>
      </c>
      <c r="E42">
        <v>53</v>
      </c>
      <c r="F42">
        <v>78</v>
      </c>
      <c r="G42">
        <v>34</v>
      </c>
      <c r="H42">
        <v>36</v>
      </c>
      <c r="I42">
        <v>74</v>
      </c>
      <c r="J42">
        <v>76</v>
      </c>
      <c r="K42">
        <v>82</v>
      </c>
      <c r="L42">
        <v>67</v>
      </c>
      <c r="M42">
        <v>85</v>
      </c>
      <c r="N42">
        <v>52</v>
      </c>
      <c r="O42">
        <v>53</v>
      </c>
      <c r="P42">
        <v>76</v>
      </c>
      <c r="R42" s="13">
        <f t="shared" si="2"/>
        <v>64.733333333333334</v>
      </c>
      <c r="S42" s="28" t="s">
        <v>58</v>
      </c>
    </row>
    <row r="43" spans="1:19" x14ac:dyDescent="0.2">
      <c r="A43" t="s">
        <v>37</v>
      </c>
      <c r="B43">
        <v>101</v>
      </c>
      <c r="C43">
        <v>71</v>
      </c>
      <c r="D43">
        <v>74</v>
      </c>
      <c r="E43">
        <v>76</v>
      </c>
      <c r="F43">
        <v>30</v>
      </c>
      <c r="G43">
        <v>81</v>
      </c>
      <c r="H43">
        <v>66</v>
      </c>
      <c r="I43">
        <v>59</v>
      </c>
      <c r="J43">
        <v>61</v>
      </c>
      <c r="K43">
        <v>89</v>
      </c>
      <c r="L43">
        <v>48</v>
      </c>
      <c r="M43">
        <v>49</v>
      </c>
      <c r="N43">
        <v>86</v>
      </c>
      <c r="O43">
        <v>72</v>
      </c>
      <c r="P43">
        <v>90</v>
      </c>
      <c r="R43" s="14">
        <f t="shared" si="2"/>
        <v>70.2</v>
      </c>
      <c r="S43" s="29"/>
    </row>
    <row r="44" spans="1:19" x14ac:dyDescent="0.2">
      <c r="A44" t="s">
        <v>38</v>
      </c>
      <c r="B44">
        <v>57</v>
      </c>
      <c r="C44">
        <v>48</v>
      </c>
      <c r="D44">
        <v>48</v>
      </c>
      <c r="E44">
        <v>45</v>
      </c>
      <c r="F44">
        <v>90</v>
      </c>
      <c r="G44">
        <v>46</v>
      </c>
      <c r="H44">
        <v>49</v>
      </c>
      <c r="I44">
        <v>61</v>
      </c>
      <c r="J44">
        <v>49</v>
      </c>
      <c r="K44">
        <v>76</v>
      </c>
      <c r="L44">
        <v>40</v>
      </c>
      <c r="M44">
        <v>67</v>
      </c>
      <c r="N44">
        <v>94</v>
      </c>
      <c r="O44">
        <v>90</v>
      </c>
      <c r="P44">
        <v>73</v>
      </c>
      <c r="R44" s="15">
        <f t="shared" si="2"/>
        <v>62.2</v>
      </c>
      <c r="S44" s="30"/>
    </row>
    <row r="47" spans="1:19" x14ac:dyDescent="0.2">
      <c r="A47" s="1" t="s">
        <v>0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/>
      <c r="M47" s="1"/>
      <c r="N47" s="1"/>
      <c r="O47" s="1"/>
      <c r="P47" s="1"/>
      <c r="R47" s="4" t="s">
        <v>51</v>
      </c>
    </row>
    <row r="48" spans="1:19" x14ac:dyDescent="0.2">
      <c r="A48" t="s">
        <v>39</v>
      </c>
      <c r="B48">
        <v>85</v>
      </c>
      <c r="C48">
        <v>30</v>
      </c>
      <c r="D48">
        <v>46</v>
      </c>
      <c r="E48">
        <v>48</v>
      </c>
      <c r="F48">
        <v>49</v>
      </c>
      <c r="G48">
        <v>39</v>
      </c>
      <c r="H48">
        <v>61</v>
      </c>
      <c r="I48">
        <v>45</v>
      </c>
      <c r="J48">
        <v>27</v>
      </c>
      <c r="K48">
        <v>117</v>
      </c>
      <c r="R48" s="13">
        <f t="shared" ref="R48:R59" si="3">AVERAGE(B48:Q48)</f>
        <v>54.7</v>
      </c>
      <c r="S48" s="28" t="s">
        <v>54</v>
      </c>
    </row>
    <row r="49" spans="1:19" x14ac:dyDescent="0.2">
      <c r="A49" t="s">
        <v>40</v>
      </c>
      <c r="B49">
        <v>43</v>
      </c>
      <c r="C49">
        <v>70</v>
      </c>
      <c r="D49">
        <v>26</v>
      </c>
      <c r="E49">
        <v>45</v>
      </c>
      <c r="F49">
        <v>73</v>
      </c>
      <c r="G49">
        <v>63</v>
      </c>
      <c r="H49">
        <v>43</v>
      </c>
      <c r="I49">
        <v>244</v>
      </c>
      <c r="J49">
        <v>85</v>
      </c>
      <c r="K49">
        <v>49</v>
      </c>
      <c r="R49" s="14">
        <f t="shared" si="3"/>
        <v>74.099999999999994</v>
      </c>
      <c r="S49" s="29"/>
    </row>
    <row r="50" spans="1:19" x14ac:dyDescent="0.2">
      <c r="A50" t="s">
        <v>41</v>
      </c>
      <c r="B50">
        <v>71</v>
      </c>
      <c r="C50">
        <v>59</v>
      </c>
      <c r="D50">
        <v>65</v>
      </c>
      <c r="E50">
        <v>89</v>
      </c>
      <c r="F50">
        <v>110</v>
      </c>
      <c r="G50">
        <v>48</v>
      </c>
      <c r="H50">
        <v>75</v>
      </c>
      <c r="I50">
        <v>86</v>
      </c>
      <c r="J50">
        <v>71</v>
      </c>
      <c r="K50">
        <v>67</v>
      </c>
      <c r="R50" s="15">
        <f t="shared" si="3"/>
        <v>74.099999999999994</v>
      </c>
      <c r="S50" s="30"/>
    </row>
    <row r="51" spans="1:19" x14ac:dyDescent="0.2">
      <c r="A51" t="s">
        <v>42</v>
      </c>
      <c r="B51">
        <v>67</v>
      </c>
      <c r="C51">
        <v>74</v>
      </c>
      <c r="D51">
        <v>59</v>
      </c>
      <c r="E51">
        <v>64</v>
      </c>
      <c r="F51">
        <v>128</v>
      </c>
      <c r="G51">
        <v>69</v>
      </c>
      <c r="H51">
        <v>80</v>
      </c>
      <c r="I51">
        <v>30</v>
      </c>
      <c r="J51">
        <v>55</v>
      </c>
      <c r="K51">
        <v>84</v>
      </c>
      <c r="R51" s="13">
        <f t="shared" si="3"/>
        <v>71</v>
      </c>
      <c r="S51" s="28" t="s">
        <v>55</v>
      </c>
    </row>
    <row r="52" spans="1:19" x14ac:dyDescent="0.2">
      <c r="A52" t="s">
        <v>43</v>
      </c>
      <c r="B52">
        <v>104</v>
      </c>
      <c r="C52">
        <v>76</v>
      </c>
      <c r="D52">
        <v>39</v>
      </c>
      <c r="E52">
        <v>67</v>
      </c>
      <c r="F52">
        <v>74</v>
      </c>
      <c r="G52">
        <v>48</v>
      </c>
      <c r="H52">
        <v>20</v>
      </c>
      <c r="I52">
        <v>74</v>
      </c>
      <c r="J52">
        <v>71</v>
      </c>
      <c r="K52">
        <v>89</v>
      </c>
      <c r="R52" s="14">
        <f t="shared" si="3"/>
        <v>66.2</v>
      </c>
      <c r="S52" s="29"/>
    </row>
    <row r="53" spans="1:19" x14ac:dyDescent="0.2">
      <c r="A53" t="s">
        <v>44</v>
      </c>
      <c r="B53">
        <v>90</v>
      </c>
      <c r="C53">
        <v>39</v>
      </c>
      <c r="D53">
        <v>32</v>
      </c>
      <c r="E53">
        <v>49</v>
      </c>
      <c r="F53">
        <v>53</v>
      </c>
      <c r="G53">
        <v>62</v>
      </c>
      <c r="H53">
        <v>64</v>
      </c>
      <c r="I53">
        <v>58</v>
      </c>
      <c r="J53">
        <v>63</v>
      </c>
      <c r="K53">
        <v>87</v>
      </c>
      <c r="R53" s="15">
        <f t="shared" si="3"/>
        <v>59.7</v>
      </c>
      <c r="S53" s="30"/>
    </row>
    <row r="54" spans="1:19" x14ac:dyDescent="0.2">
      <c r="A54" t="s">
        <v>45</v>
      </c>
      <c r="B54">
        <v>51</v>
      </c>
      <c r="C54">
        <v>48</v>
      </c>
      <c r="D54">
        <v>68</v>
      </c>
      <c r="E54">
        <v>70</v>
      </c>
      <c r="F54">
        <v>28</v>
      </c>
      <c r="G54">
        <v>57</v>
      </c>
      <c r="H54">
        <v>85</v>
      </c>
      <c r="I54">
        <v>57</v>
      </c>
      <c r="J54">
        <v>101</v>
      </c>
      <c r="K54">
        <v>95</v>
      </c>
      <c r="R54" s="13">
        <f t="shared" si="3"/>
        <v>66</v>
      </c>
      <c r="S54" s="28" t="s">
        <v>57</v>
      </c>
    </row>
    <row r="55" spans="1:19" x14ac:dyDescent="0.2">
      <c r="A55" t="s">
        <v>46</v>
      </c>
      <c r="B55">
        <v>77</v>
      </c>
      <c r="C55">
        <v>64</v>
      </c>
      <c r="D55">
        <v>77</v>
      </c>
      <c r="E55">
        <v>56</v>
      </c>
      <c r="F55">
        <v>25</v>
      </c>
      <c r="G55">
        <v>72</v>
      </c>
      <c r="H55">
        <v>65</v>
      </c>
      <c r="I55">
        <v>55</v>
      </c>
      <c r="J55">
        <v>42</v>
      </c>
      <c r="K55">
        <v>82</v>
      </c>
      <c r="R55" s="14">
        <f t="shared" si="3"/>
        <v>61.5</v>
      </c>
      <c r="S55" s="29"/>
    </row>
    <row r="56" spans="1:19" x14ac:dyDescent="0.2">
      <c r="A56" t="s">
        <v>47</v>
      </c>
      <c r="B56">
        <v>70</v>
      </c>
      <c r="C56">
        <v>83</v>
      </c>
      <c r="D56">
        <v>82</v>
      </c>
      <c r="E56">
        <v>64</v>
      </c>
      <c r="F56">
        <v>65</v>
      </c>
      <c r="G56">
        <v>47</v>
      </c>
      <c r="H56">
        <v>55</v>
      </c>
      <c r="I56">
        <v>50</v>
      </c>
      <c r="J56">
        <v>80</v>
      </c>
      <c r="K56">
        <v>68</v>
      </c>
      <c r="R56" s="15">
        <f t="shared" si="3"/>
        <v>66.400000000000006</v>
      </c>
      <c r="S56" s="30"/>
    </row>
    <row r="57" spans="1:19" x14ac:dyDescent="0.2">
      <c r="A57" t="s">
        <v>48</v>
      </c>
      <c r="B57">
        <v>77</v>
      </c>
      <c r="C57">
        <v>53</v>
      </c>
      <c r="D57">
        <v>45</v>
      </c>
      <c r="E57">
        <v>66</v>
      </c>
      <c r="F57">
        <v>43</v>
      </c>
      <c r="G57">
        <v>45</v>
      </c>
      <c r="H57">
        <v>58</v>
      </c>
      <c r="I57">
        <v>81</v>
      </c>
      <c r="J57">
        <v>63</v>
      </c>
      <c r="K57">
        <v>89</v>
      </c>
      <c r="R57" s="13">
        <f t="shared" si="3"/>
        <v>62</v>
      </c>
      <c r="S57" s="28" t="s">
        <v>58</v>
      </c>
    </row>
    <row r="58" spans="1:19" x14ac:dyDescent="0.2">
      <c r="A58" t="s">
        <v>49</v>
      </c>
      <c r="B58">
        <v>61</v>
      </c>
      <c r="C58">
        <v>78</v>
      </c>
      <c r="D58">
        <v>75</v>
      </c>
      <c r="E58">
        <v>42</v>
      </c>
      <c r="F58">
        <v>43</v>
      </c>
      <c r="G58">
        <v>19</v>
      </c>
      <c r="H58">
        <v>63</v>
      </c>
      <c r="I58">
        <v>23</v>
      </c>
      <c r="J58">
        <v>52</v>
      </c>
      <c r="K58">
        <v>72</v>
      </c>
      <c r="R58" s="14">
        <f t="shared" si="3"/>
        <v>52.8</v>
      </c>
      <c r="S58" s="29"/>
    </row>
    <row r="59" spans="1:19" x14ac:dyDescent="0.2">
      <c r="A59" t="s">
        <v>50</v>
      </c>
      <c r="B59">
        <v>50</v>
      </c>
      <c r="C59">
        <v>74</v>
      </c>
      <c r="D59">
        <v>85</v>
      </c>
      <c r="E59">
        <v>65</v>
      </c>
      <c r="F59">
        <v>75</v>
      </c>
      <c r="G59">
        <v>71</v>
      </c>
      <c r="H59">
        <v>64</v>
      </c>
      <c r="I59">
        <v>73</v>
      </c>
      <c r="J59">
        <v>67</v>
      </c>
      <c r="K59">
        <v>49</v>
      </c>
      <c r="R59" s="15">
        <f t="shared" si="3"/>
        <v>67.3</v>
      </c>
      <c r="S59" s="30"/>
    </row>
    <row r="61" spans="1:19" x14ac:dyDescent="0.2">
      <c r="A61" s="2">
        <v>200</v>
      </c>
    </row>
    <row r="63" spans="1:19" x14ac:dyDescent="0.2">
      <c r="A63" t="s">
        <v>0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/>
      <c r="M63" s="1"/>
      <c r="N63" s="1"/>
      <c r="O63" s="1"/>
      <c r="P63" s="1"/>
      <c r="R63" s="4" t="s">
        <v>51</v>
      </c>
    </row>
    <row r="64" spans="1:19" x14ac:dyDescent="0.2">
      <c r="A64" t="s">
        <v>59</v>
      </c>
      <c r="B64">
        <v>29</v>
      </c>
      <c r="C64">
        <v>38</v>
      </c>
      <c r="D64">
        <v>67</v>
      </c>
      <c r="E64">
        <v>62</v>
      </c>
      <c r="F64">
        <v>36</v>
      </c>
      <c r="G64">
        <v>19</v>
      </c>
      <c r="H64">
        <v>58</v>
      </c>
      <c r="I64">
        <v>53</v>
      </c>
      <c r="J64">
        <v>57</v>
      </c>
      <c r="K64">
        <v>71</v>
      </c>
      <c r="L64">
        <v>65</v>
      </c>
      <c r="M64">
        <v>55</v>
      </c>
      <c r="N64">
        <v>72</v>
      </c>
      <c r="O64">
        <v>47</v>
      </c>
      <c r="P64">
        <v>39</v>
      </c>
      <c r="R64" s="13">
        <f t="shared" ref="R64:R75" si="4">AVERAGE(B64:Q64)</f>
        <v>51.2</v>
      </c>
      <c r="S64" s="28" t="s">
        <v>54</v>
      </c>
    </row>
    <row r="65" spans="1:19" x14ac:dyDescent="0.2">
      <c r="A65" t="s">
        <v>60</v>
      </c>
      <c r="B65">
        <v>107</v>
      </c>
      <c r="C65">
        <v>83</v>
      </c>
      <c r="D65">
        <v>56</v>
      </c>
      <c r="E65">
        <v>81</v>
      </c>
      <c r="F65">
        <v>97</v>
      </c>
      <c r="G65">
        <v>57</v>
      </c>
      <c r="H65">
        <v>44</v>
      </c>
      <c r="I65">
        <v>64</v>
      </c>
      <c r="J65">
        <v>87</v>
      </c>
      <c r="K65">
        <v>89</v>
      </c>
      <c r="L65">
        <v>73</v>
      </c>
      <c r="M65">
        <v>39</v>
      </c>
      <c r="N65">
        <v>61</v>
      </c>
      <c r="O65">
        <v>75</v>
      </c>
      <c r="P65">
        <v>70</v>
      </c>
      <c r="R65" s="14">
        <f t="shared" si="4"/>
        <v>72.2</v>
      </c>
      <c r="S65" s="29"/>
    </row>
    <row r="66" spans="1:19" x14ac:dyDescent="0.2">
      <c r="A66" t="s">
        <v>61</v>
      </c>
      <c r="B66">
        <v>74</v>
      </c>
      <c r="C66">
        <v>77</v>
      </c>
      <c r="D66">
        <v>63</v>
      </c>
      <c r="E66">
        <v>77</v>
      </c>
      <c r="F66">
        <v>61</v>
      </c>
      <c r="G66">
        <v>74</v>
      </c>
      <c r="H66">
        <v>55</v>
      </c>
      <c r="I66">
        <v>82</v>
      </c>
      <c r="J66">
        <v>70</v>
      </c>
      <c r="K66">
        <v>71</v>
      </c>
      <c r="L66">
        <v>83</v>
      </c>
      <c r="M66">
        <v>77</v>
      </c>
      <c r="N66">
        <v>37</v>
      </c>
      <c r="O66">
        <v>49</v>
      </c>
      <c r="P66">
        <v>76</v>
      </c>
      <c r="R66" s="15">
        <f t="shared" si="4"/>
        <v>68.400000000000006</v>
      </c>
      <c r="S66" s="30"/>
    </row>
    <row r="67" spans="1:19" x14ac:dyDescent="0.2">
      <c r="A67" t="s">
        <v>62</v>
      </c>
      <c r="B67">
        <v>69</v>
      </c>
      <c r="C67">
        <v>67</v>
      </c>
      <c r="D67">
        <v>87</v>
      </c>
      <c r="E67">
        <v>68</v>
      </c>
      <c r="F67">
        <v>87</v>
      </c>
      <c r="G67">
        <v>96</v>
      </c>
      <c r="H67">
        <v>77</v>
      </c>
      <c r="I67">
        <v>86</v>
      </c>
      <c r="J67">
        <v>80</v>
      </c>
      <c r="K67">
        <v>70</v>
      </c>
      <c r="L67">
        <v>39</v>
      </c>
      <c r="M67">
        <v>62</v>
      </c>
      <c r="N67">
        <v>63</v>
      </c>
      <c r="O67">
        <v>65</v>
      </c>
      <c r="P67">
        <v>79</v>
      </c>
      <c r="R67" s="13">
        <f t="shared" si="4"/>
        <v>73</v>
      </c>
      <c r="S67" s="28" t="s">
        <v>55</v>
      </c>
    </row>
    <row r="68" spans="1:19" x14ac:dyDescent="0.2">
      <c r="A68" t="s">
        <v>63</v>
      </c>
      <c r="B68">
        <v>53</v>
      </c>
      <c r="C68">
        <v>72</v>
      </c>
      <c r="D68">
        <v>73</v>
      </c>
      <c r="E68">
        <v>62</v>
      </c>
      <c r="F68">
        <v>72</v>
      </c>
      <c r="G68">
        <v>74</v>
      </c>
      <c r="H68">
        <v>90</v>
      </c>
      <c r="I68">
        <v>81</v>
      </c>
      <c r="J68">
        <v>42</v>
      </c>
      <c r="K68">
        <v>49</v>
      </c>
      <c r="L68">
        <v>70</v>
      </c>
      <c r="M68">
        <v>39</v>
      </c>
      <c r="N68">
        <v>64</v>
      </c>
      <c r="O68">
        <v>64</v>
      </c>
      <c r="P68">
        <v>55</v>
      </c>
      <c r="R68" s="14">
        <f t="shared" si="4"/>
        <v>64</v>
      </c>
      <c r="S68" s="29"/>
    </row>
    <row r="69" spans="1:19" x14ac:dyDescent="0.2">
      <c r="A69" t="s">
        <v>64</v>
      </c>
      <c r="B69">
        <v>50</v>
      </c>
      <c r="C69">
        <v>48</v>
      </c>
      <c r="D69">
        <v>75</v>
      </c>
      <c r="E69">
        <v>68</v>
      </c>
      <c r="F69">
        <v>80</v>
      </c>
      <c r="G69">
        <v>47</v>
      </c>
      <c r="H69">
        <v>66</v>
      </c>
      <c r="I69">
        <v>70</v>
      </c>
      <c r="J69">
        <v>44</v>
      </c>
      <c r="K69">
        <v>71</v>
      </c>
      <c r="L69">
        <v>65</v>
      </c>
      <c r="M69">
        <v>70</v>
      </c>
      <c r="N69">
        <v>77</v>
      </c>
      <c r="O69">
        <v>63</v>
      </c>
      <c r="P69">
        <v>63</v>
      </c>
      <c r="R69" s="15">
        <f t="shared" si="4"/>
        <v>63.8</v>
      </c>
      <c r="S69" s="30"/>
    </row>
    <row r="70" spans="1:19" x14ac:dyDescent="0.2">
      <c r="A70" t="s">
        <v>65</v>
      </c>
      <c r="B70">
        <v>81</v>
      </c>
      <c r="C70">
        <v>87</v>
      </c>
      <c r="D70">
        <v>106</v>
      </c>
      <c r="E70">
        <v>82</v>
      </c>
      <c r="F70">
        <v>72</v>
      </c>
      <c r="G70">
        <v>83</v>
      </c>
      <c r="H70">
        <v>80</v>
      </c>
      <c r="I70">
        <v>65</v>
      </c>
      <c r="J70">
        <v>70</v>
      </c>
      <c r="K70">
        <v>82</v>
      </c>
      <c r="L70">
        <v>68</v>
      </c>
      <c r="M70">
        <v>73</v>
      </c>
      <c r="N70">
        <v>65</v>
      </c>
      <c r="O70">
        <v>82</v>
      </c>
      <c r="P70">
        <v>67</v>
      </c>
      <c r="R70" s="13">
        <f t="shared" si="4"/>
        <v>77.533333333333331</v>
      </c>
      <c r="S70" s="28" t="s">
        <v>57</v>
      </c>
    </row>
    <row r="71" spans="1:19" x14ac:dyDescent="0.2">
      <c r="A71" t="s">
        <v>66</v>
      </c>
      <c r="B71">
        <v>23</v>
      </c>
      <c r="C71">
        <v>83</v>
      </c>
      <c r="D71">
        <v>81</v>
      </c>
      <c r="E71">
        <v>72</v>
      </c>
      <c r="F71">
        <v>71</v>
      </c>
      <c r="G71">
        <v>53</v>
      </c>
      <c r="H71">
        <v>90</v>
      </c>
      <c r="I71">
        <v>19</v>
      </c>
      <c r="J71">
        <v>62</v>
      </c>
      <c r="K71">
        <v>54</v>
      </c>
      <c r="L71">
        <v>41</v>
      </c>
      <c r="M71">
        <v>75</v>
      </c>
      <c r="N71">
        <v>67</v>
      </c>
      <c r="O71">
        <v>67</v>
      </c>
      <c r="P71">
        <v>107</v>
      </c>
      <c r="R71" s="14">
        <f t="shared" si="4"/>
        <v>64.333333333333329</v>
      </c>
      <c r="S71" s="29"/>
    </row>
    <row r="72" spans="1:19" x14ac:dyDescent="0.2">
      <c r="A72" t="s">
        <v>67</v>
      </c>
      <c r="B72">
        <v>64</v>
      </c>
      <c r="C72">
        <v>54</v>
      </c>
      <c r="D72">
        <v>68</v>
      </c>
      <c r="E72">
        <v>74</v>
      </c>
      <c r="F72">
        <v>41</v>
      </c>
      <c r="G72">
        <v>82</v>
      </c>
      <c r="H72">
        <v>58</v>
      </c>
      <c r="I72">
        <v>73</v>
      </c>
      <c r="J72">
        <v>64</v>
      </c>
      <c r="K72">
        <v>67</v>
      </c>
      <c r="L72">
        <v>77</v>
      </c>
      <c r="M72">
        <v>70</v>
      </c>
      <c r="N72">
        <v>42</v>
      </c>
      <c r="O72">
        <v>76</v>
      </c>
      <c r="P72">
        <v>74</v>
      </c>
      <c r="R72" s="15">
        <f t="shared" si="4"/>
        <v>65.599999999999994</v>
      </c>
      <c r="S72" s="30"/>
    </row>
    <row r="73" spans="1:19" x14ac:dyDescent="0.2">
      <c r="A73" t="s">
        <v>68</v>
      </c>
      <c r="B73">
        <v>79</v>
      </c>
      <c r="C73">
        <v>59</v>
      </c>
      <c r="D73">
        <v>64</v>
      </c>
      <c r="E73">
        <v>77</v>
      </c>
      <c r="F73">
        <v>60</v>
      </c>
      <c r="G73">
        <v>72</v>
      </c>
      <c r="H73">
        <v>98</v>
      </c>
      <c r="I73">
        <v>67</v>
      </c>
      <c r="J73">
        <v>83</v>
      </c>
      <c r="K73">
        <v>56</v>
      </c>
      <c r="L73">
        <v>74</v>
      </c>
      <c r="M73">
        <v>72</v>
      </c>
      <c r="N73">
        <v>64</v>
      </c>
      <c r="O73">
        <v>75</v>
      </c>
      <c r="P73">
        <v>87</v>
      </c>
      <c r="R73" s="13">
        <f t="shared" si="4"/>
        <v>72.466666666666669</v>
      </c>
      <c r="S73" s="28" t="s">
        <v>58</v>
      </c>
    </row>
    <row r="74" spans="1:19" x14ac:dyDescent="0.2">
      <c r="A74" t="s">
        <v>69</v>
      </c>
      <c r="B74">
        <v>63</v>
      </c>
      <c r="C74">
        <v>73</v>
      </c>
      <c r="D74">
        <v>69</v>
      </c>
      <c r="E74">
        <v>44</v>
      </c>
      <c r="F74">
        <v>37</v>
      </c>
      <c r="G74">
        <v>48</v>
      </c>
      <c r="H74">
        <v>83</v>
      </c>
      <c r="I74">
        <v>55</v>
      </c>
      <c r="J74">
        <v>80</v>
      </c>
      <c r="K74">
        <v>66</v>
      </c>
      <c r="L74">
        <v>58</v>
      </c>
      <c r="M74">
        <v>75</v>
      </c>
      <c r="N74">
        <v>87</v>
      </c>
      <c r="O74">
        <v>73</v>
      </c>
      <c r="P74">
        <v>59</v>
      </c>
      <c r="R74" s="14">
        <f t="shared" si="4"/>
        <v>64.666666666666671</v>
      </c>
      <c r="S74" s="29"/>
    </row>
    <row r="75" spans="1:19" x14ac:dyDescent="0.2">
      <c r="A75" t="s">
        <v>70</v>
      </c>
      <c r="B75">
        <v>67</v>
      </c>
      <c r="C75">
        <v>69</v>
      </c>
      <c r="D75">
        <v>94</v>
      </c>
      <c r="E75">
        <v>69</v>
      </c>
      <c r="F75">
        <v>70</v>
      </c>
      <c r="G75">
        <v>81</v>
      </c>
      <c r="H75">
        <v>79</v>
      </c>
      <c r="I75">
        <v>54</v>
      </c>
      <c r="J75">
        <v>57</v>
      </c>
      <c r="K75">
        <v>98</v>
      </c>
      <c r="L75">
        <v>126</v>
      </c>
      <c r="M75">
        <v>97</v>
      </c>
      <c r="N75">
        <v>57</v>
      </c>
      <c r="O75">
        <v>80</v>
      </c>
      <c r="P75">
        <v>25</v>
      </c>
      <c r="R75" s="15">
        <f t="shared" si="4"/>
        <v>74.86666666666666</v>
      </c>
      <c r="S75" s="30"/>
    </row>
    <row r="78" spans="1:19" x14ac:dyDescent="0.2">
      <c r="A78" t="s">
        <v>0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/>
      <c r="M78" s="1"/>
      <c r="N78" s="1"/>
      <c r="O78" s="1"/>
      <c r="P78" s="1"/>
      <c r="R78" s="4" t="s">
        <v>51</v>
      </c>
    </row>
    <row r="79" spans="1:19" x14ac:dyDescent="0.2">
      <c r="A79" t="s">
        <v>71</v>
      </c>
      <c r="B79">
        <v>59</v>
      </c>
      <c r="C79">
        <v>92</v>
      </c>
      <c r="D79">
        <v>58</v>
      </c>
      <c r="E79">
        <v>71</v>
      </c>
      <c r="F79">
        <v>39</v>
      </c>
      <c r="G79">
        <v>47</v>
      </c>
      <c r="H79">
        <v>56</v>
      </c>
      <c r="I79">
        <v>57</v>
      </c>
      <c r="J79">
        <v>56</v>
      </c>
      <c r="K79">
        <v>39</v>
      </c>
      <c r="R79" s="13">
        <f t="shared" ref="R79:R90" si="5">AVERAGE(B79:Q79)</f>
        <v>57.4</v>
      </c>
      <c r="S79" s="28" t="s">
        <v>54</v>
      </c>
    </row>
    <row r="80" spans="1:19" x14ac:dyDescent="0.2">
      <c r="A80" t="s">
        <v>72</v>
      </c>
      <c r="B80">
        <v>60</v>
      </c>
      <c r="C80">
        <v>63</v>
      </c>
      <c r="D80">
        <v>69</v>
      </c>
      <c r="E80">
        <v>53</v>
      </c>
      <c r="F80">
        <v>46</v>
      </c>
      <c r="G80">
        <v>50</v>
      </c>
      <c r="H80">
        <v>82</v>
      </c>
      <c r="I80">
        <v>76</v>
      </c>
      <c r="J80">
        <v>72</v>
      </c>
      <c r="K80">
        <v>43</v>
      </c>
      <c r="R80" s="14">
        <f t="shared" si="5"/>
        <v>61.4</v>
      </c>
      <c r="S80" s="29"/>
    </row>
    <row r="81" spans="1:19" x14ac:dyDescent="0.2">
      <c r="A81" t="s">
        <v>73</v>
      </c>
      <c r="B81">
        <v>77</v>
      </c>
      <c r="C81">
        <v>83</v>
      </c>
      <c r="D81">
        <v>61</v>
      </c>
      <c r="E81">
        <v>47</v>
      </c>
      <c r="F81">
        <v>93</v>
      </c>
      <c r="G81">
        <v>77</v>
      </c>
      <c r="H81">
        <v>82</v>
      </c>
      <c r="I81">
        <v>77</v>
      </c>
      <c r="J81">
        <v>66</v>
      </c>
      <c r="K81">
        <v>72</v>
      </c>
      <c r="R81" s="15">
        <f t="shared" si="5"/>
        <v>73.5</v>
      </c>
      <c r="S81" s="30"/>
    </row>
    <row r="82" spans="1:19" x14ac:dyDescent="0.2">
      <c r="A82" t="s">
        <v>74</v>
      </c>
      <c r="B82">
        <v>74</v>
      </c>
      <c r="C82">
        <v>48</v>
      </c>
      <c r="D82">
        <v>66</v>
      </c>
      <c r="E82">
        <v>90</v>
      </c>
      <c r="F82">
        <v>28</v>
      </c>
      <c r="G82">
        <v>59</v>
      </c>
      <c r="H82">
        <v>23</v>
      </c>
      <c r="I82">
        <v>77</v>
      </c>
      <c r="J82">
        <v>66</v>
      </c>
      <c r="K82">
        <v>51</v>
      </c>
      <c r="R82" s="13">
        <f t="shared" si="5"/>
        <v>58.2</v>
      </c>
      <c r="S82" s="28" t="s">
        <v>55</v>
      </c>
    </row>
    <row r="83" spans="1:19" x14ac:dyDescent="0.2">
      <c r="A83" t="s">
        <v>75</v>
      </c>
      <c r="B83">
        <v>61</v>
      </c>
      <c r="C83">
        <v>57</v>
      </c>
      <c r="D83">
        <v>81</v>
      </c>
      <c r="E83">
        <v>70</v>
      </c>
      <c r="F83">
        <v>90</v>
      </c>
      <c r="G83">
        <v>56</v>
      </c>
      <c r="H83">
        <v>77</v>
      </c>
      <c r="I83">
        <v>59</v>
      </c>
      <c r="J83">
        <v>91</v>
      </c>
      <c r="K83">
        <v>76</v>
      </c>
      <c r="R83" s="14">
        <f t="shared" si="5"/>
        <v>71.8</v>
      </c>
      <c r="S83" s="29"/>
    </row>
    <row r="84" spans="1:19" x14ac:dyDescent="0.2">
      <c r="A84" t="s">
        <v>76</v>
      </c>
      <c r="B84">
        <v>35</v>
      </c>
      <c r="C84">
        <v>57</v>
      </c>
      <c r="D84">
        <v>73</v>
      </c>
      <c r="E84">
        <v>72</v>
      </c>
      <c r="F84">
        <v>65</v>
      </c>
      <c r="G84">
        <v>76</v>
      </c>
      <c r="H84">
        <v>80</v>
      </c>
      <c r="I84">
        <v>26</v>
      </c>
      <c r="J84">
        <v>116</v>
      </c>
      <c r="K84">
        <v>56</v>
      </c>
      <c r="R84" s="15">
        <f t="shared" si="5"/>
        <v>65.599999999999994</v>
      </c>
      <c r="S84" s="30"/>
    </row>
    <row r="85" spans="1:19" x14ac:dyDescent="0.2">
      <c r="A85" t="s">
        <v>77</v>
      </c>
      <c r="B85">
        <v>64</v>
      </c>
      <c r="C85">
        <v>46</v>
      </c>
      <c r="D85">
        <v>43</v>
      </c>
      <c r="E85">
        <v>73</v>
      </c>
      <c r="F85">
        <v>68</v>
      </c>
      <c r="G85">
        <v>47</v>
      </c>
      <c r="H85">
        <v>79</v>
      </c>
      <c r="I85">
        <v>63</v>
      </c>
      <c r="J85">
        <v>76</v>
      </c>
      <c r="K85">
        <v>53</v>
      </c>
      <c r="R85" s="13">
        <f t="shared" si="5"/>
        <v>61.2</v>
      </c>
      <c r="S85" s="28" t="s">
        <v>57</v>
      </c>
    </row>
    <row r="86" spans="1:19" x14ac:dyDescent="0.2">
      <c r="A86" t="s">
        <v>78</v>
      </c>
      <c r="B86">
        <v>68</v>
      </c>
      <c r="C86">
        <v>93</v>
      </c>
      <c r="D86">
        <v>62</v>
      </c>
      <c r="E86">
        <v>60</v>
      </c>
      <c r="F86">
        <v>33</v>
      </c>
      <c r="G86">
        <v>73</v>
      </c>
      <c r="H86">
        <v>73</v>
      </c>
      <c r="I86">
        <v>76</v>
      </c>
      <c r="J86">
        <v>72</v>
      </c>
      <c r="K86">
        <v>41</v>
      </c>
      <c r="R86" s="14">
        <f t="shared" si="5"/>
        <v>65.099999999999994</v>
      </c>
      <c r="S86" s="29"/>
    </row>
    <row r="87" spans="1:19" x14ac:dyDescent="0.2">
      <c r="A87" t="s">
        <v>79</v>
      </c>
      <c r="B87">
        <v>27</v>
      </c>
      <c r="C87">
        <v>32</v>
      </c>
      <c r="D87">
        <v>41</v>
      </c>
      <c r="E87">
        <v>74</v>
      </c>
      <c r="F87">
        <v>105</v>
      </c>
      <c r="G87">
        <v>79</v>
      </c>
      <c r="H87">
        <v>34</v>
      </c>
      <c r="I87">
        <v>90</v>
      </c>
      <c r="J87">
        <v>54</v>
      </c>
      <c r="K87">
        <v>90</v>
      </c>
      <c r="R87" s="15">
        <f t="shared" si="5"/>
        <v>62.6</v>
      </c>
      <c r="S87" s="30"/>
    </row>
    <row r="88" spans="1:19" x14ac:dyDescent="0.2">
      <c r="A88" t="s">
        <v>80</v>
      </c>
      <c r="B88">
        <v>44</v>
      </c>
      <c r="C88">
        <v>93</v>
      </c>
      <c r="D88">
        <v>90</v>
      </c>
      <c r="E88">
        <v>71</v>
      </c>
      <c r="F88">
        <v>55</v>
      </c>
      <c r="G88">
        <v>38</v>
      </c>
      <c r="H88">
        <v>92</v>
      </c>
      <c r="I88">
        <v>66</v>
      </c>
      <c r="J88">
        <v>36</v>
      </c>
      <c r="K88">
        <v>67</v>
      </c>
      <c r="R88" s="13">
        <f t="shared" si="5"/>
        <v>65.2</v>
      </c>
      <c r="S88" s="28" t="s">
        <v>58</v>
      </c>
    </row>
    <row r="89" spans="1:19" x14ac:dyDescent="0.2">
      <c r="A89" t="s">
        <v>81</v>
      </c>
      <c r="B89">
        <v>77</v>
      </c>
      <c r="C89">
        <v>44</v>
      </c>
      <c r="D89">
        <v>65</v>
      </c>
      <c r="E89">
        <v>82</v>
      </c>
      <c r="F89">
        <v>56</v>
      </c>
      <c r="G89">
        <v>73</v>
      </c>
      <c r="H89">
        <v>43</v>
      </c>
      <c r="I89">
        <v>66</v>
      </c>
      <c r="J89">
        <v>78</v>
      </c>
      <c r="K89">
        <v>71</v>
      </c>
      <c r="R89" s="14">
        <f t="shared" si="5"/>
        <v>65.5</v>
      </c>
      <c r="S89" s="29"/>
    </row>
    <row r="90" spans="1:19" x14ac:dyDescent="0.2">
      <c r="A90" t="s">
        <v>82</v>
      </c>
      <c r="B90">
        <v>105</v>
      </c>
      <c r="C90">
        <v>62</v>
      </c>
      <c r="D90">
        <v>64</v>
      </c>
      <c r="E90">
        <v>61</v>
      </c>
      <c r="F90">
        <v>96</v>
      </c>
      <c r="G90">
        <v>83</v>
      </c>
      <c r="H90">
        <v>63</v>
      </c>
      <c r="I90">
        <v>67</v>
      </c>
      <c r="J90">
        <v>76</v>
      </c>
      <c r="K90">
        <v>66</v>
      </c>
      <c r="R90" s="15">
        <f t="shared" si="5"/>
        <v>74.3</v>
      </c>
      <c r="S90" s="30"/>
    </row>
  </sheetData>
  <mergeCells count="42">
    <mergeCell ref="S88:S90"/>
    <mergeCell ref="S2:S4"/>
    <mergeCell ref="S5:S7"/>
    <mergeCell ref="S8:S10"/>
    <mergeCell ref="S11:S13"/>
    <mergeCell ref="S64:S66"/>
    <mergeCell ref="S67:S69"/>
    <mergeCell ref="S39:S41"/>
    <mergeCell ref="S42:S44"/>
    <mergeCell ref="S48:S50"/>
    <mergeCell ref="S51:S53"/>
    <mergeCell ref="S54:S56"/>
    <mergeCell ref="S57:S59"/>
    <mergeCell ref="S17:S19"/>
    <mergeCell ref="S20:S22"/>
    <mergeCell ref="S23:S25"/>
    <mergeCell ref="S70:S72"/>
    <mergeCell ref="S73:S75"/>
    <mergeCell ref="S26:S28"/>
    <mergeCell ref="S33:S35"/>
    <mergeCell ref="S36:S38"/>
    <mergeCell ref="S79:S81"/>
    <mergeCell ref="S82:S84"/>
    <mergeCell ref="S85:S87"/>
    <mergeCell ref="W4:W5"/>
    <mergeCell ref="W2:W3"/>
    <mergeCell ref="V2:V5"/>
    <mergeCell ref="V6:V9"/>
    <mergeCell ref="W6:W7"/>
    <mergeCell ref="W8:W9"/>
    <mergeCell ref="V10:V13"/>
    <mergeCell ref="W10:W11"/>
    <mergeCell ref="W12:W13"/>
    <mergeCell ref="V17:V20"/>
    <mergeCell ref="W17:W18"/>
    <mergeCell ref="W19:W20"/>
    <mergeCell ref="V21:V24"/>
    <mergeCell ref="W21:W22"/>
    <mergeCell ref="W23:W24"/>
    <mergeCell ref="V25:V28"/>
    <mergeCell ref="W25:W26"/>
    <mergeCell ref="W27:W28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32F4-CCDF-8043-A008-5F8A05557E0E}">
  <dimension ref="A1:AH90"/>
  <sheetViews>
    <sheetView tabSelected="1" topLeftCell="P1" workbookViewId="0">
      <selection activeCell="V1" sqref="V1"/>
    </sheetView>
  </sheetViews>
  <sheetFormatPr baseColWidth="10" defaultRowHeight="16" x14ac:dyDescent="0.2"/>
  <cols>
    <col min="1" max="1" width="17.83203125" customWidth="1"/>
    <col min="25" max="26" width="12.6640625" bestFit="1" customWidth="1"/>
  </cols>
  <sheetData>
    <row r="1" spans="1:34" ht="17" thickBot="1" x14ac:dyDescent="0.25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/>
      <c r="M1" s="1"/>
      <c r="N1" s="1"/>
      <c r="O1" s="1"/>
      <c r="P1" s="1"/>
      <c r="R1" s="24" t="s">
        <v>51</v>
      </c>
      <c r="V1" s="2" t="s">
        <v>85</v>
      </c>
      <c r="W1" t="s">
        <v>96</v>
      </c>
      <c r="Y1" s="52">
        <v>10</v>
      </c>
      <c r="Z1" s="53">
        <v>100</v>
      </c>
      <c r="AA1" s="54">
        <v>200</v>
      </c>
      <c r="AC1" s="2" t="s">
        <v>85</v>
      </c>
      <c r="AD1" t="s">
        <v>95</v>
      </c>
      <c r="AF1" s="8">
        <v>10</v>
      </c>
      <c r="AG1" s="8">
        <v>100</v>
      </c>
      <c r="AH1" s="8">
        <v>200</v>
      </c>
    </row>
    <row r="2" spans="1:34" x14ac:dyDescent="0.2">
      <c r="A2" t="s">
        <v>3</v>
      </c>
      <c r="B2">
        <f>Comsuption!B2*Time!B2</f>
        <v>50</v>
      </c>
      <c r="C2">
        <f>Comsuption!C2*Time!C2</f>
        <v>0</v>
      </c>
      <c r="D2">
        <f>Comsuption!D2*Time!D2</f>
        <v>61</v>
      </c>
      <c r="E2">
        <f>Comsuption!E2*Time!E2</f>
        <v>170</v>
      </c>
      <c r="F2">
        <f>Comsuption!F2*Time!F2</f>
        <v>52</v>
      </c>
      <c r="G2">
        <f>Comsuption!G2*Time!G2</f>
        <v>41</v>
      </c>
      <c r="H2">
        <f>Comsuption!H2*Time!H2</f>
        <v>0</v>
      </c>
      <c r="I2">
        <f>Comsuption!I2*Time!I2</f>
        <v>0</v>
      </c>
      <c r="J2">
        <f>Comsuption!J2*Time!J2</f>
        <v>0</v>
      </c>
      <c r="K2">
        <f>Comsuption!K2*Time!K2</f>
        <v>0</v>
      </c>
      <c r="L2">
        <f>Comsuption!L2*Time!L2</f>
        <v>39</v>
      </c>
      <c r="M2">
        <f>Comsuption!M2*Time!M2</f>
        <v>52</v>
      </c>
      <c r="N2">
        <f>Comsuption!N2*Time!N2</f>
        <v>0</v>
      </c>
      <c r="O2">
        <f>Comsuption!O2*Time!O2</f>
        <v>61</v>
      </c>
      <c r="P2">
        <f>Comsuption!P2*Time!P2</f>
        <v>0</v>
      </c>
      <c r="R2" s="10">
        <f>AVERAGE(B2:P2)</f>
        <v>35.06666666666667</v>
      </c>
      <c r="S2" s="28" t="s">
        <v>54</v>
      </c>
      <c r="T2">
        <v>128</v>
      </c>
      <c r="V2" s="44">
        <v>128</v>
      </c>
      <c r="W2" s="45" t="s">
        <v>56</v>
      </c>
      <c r="X2" s="46" t="s">
        <v>53</v>
      </c>
      <c r="Y2" s="34">
        <f>R8</f>
        <v>16.8</v>
      </c>
      <c r="Z2" s="35">
        <f>R39</f>
        <v>8.6</v>
      </c>
      <c r="AA2" s="36">
        <f>R70</f>
        <v>42.7</v>
      </c>
      <c r="AC2" s="26">
        <v>128</v>
      </c>
      <c r="AD2" s="27" t="s">
        <v>56</v>
      </c>
      <c r="AE2" s="7" t="s">
        <v>53</v>
      </c>
      <c r="AF2" s="18">
        <v>61.7</v>
      </c>
      <c r="AG2" s="18">
        <v>62.9</v>
      </c>
      <c r="AH2" s="18">
        <v>80.8</v>
      </c>
    </row>
    <row r="3" spans="1:34" x14ac:dyDescent="0.2">
      <c r="A3" t="s">
        <v>4</v>
      </c>
      <c r="B3">
        <f>Comsuption!B3*Time!B3</f>
        <v>67</v>
      </c>
      <c r="C3">
        <f>Comsuption!C3*Time!C3</f>
        <v>0</v>
      </c>
      <c r="D3">
        <f>Comsuption!D3*Time!D3</f>
        <v>0</v>
      </c>
      <c r="E3">
        <f>Comsuption!E3*Time!E3</f>
        <v>0</v>
      </c>
      <c r="F3">
        <f>Comsuption!F3*Time!F3</f>
        <v>84</v>
      </c>
      <c r="G3">
        <f>Comsuption!G3*Time!G3</f>
        <v>0</v>
      </c>
      <c r="H3">
        <f>Comsuption!H3*Time!H3</f>
        <v>0</v>
      </c>
      <c r="I3">
        <f>Comsuption!I3*Time!I3</f>
        <v>0</v>
      </c>
      <c r="J3">
        <f>Comsuption!J3*Time!J3</f>
        <v>0</v>
      </c>
      <c r="K3">
        <f>Comsuption!K3*Time!K3</f>
        <v>0</v>
      </c>
      <c r="L3">
        <f>Comsuption!L3*Time!L3</f>
        <v>0</v>
      </c>
      <c r="M3">
        <f>Comsuption!M3*Time!M3</f>
        <v>0</v>
      </c>
      <c r="N3">
        <f>Comsuption!N3*Time!N3</f>
        <v>0</v>
      </c>
      <c r="O3">
        <f>Comsuption!O3*Time!O3</f>
        <v>0</v>
      </c>
      <c r="P3">
        <f>Comsuption!P3*Time!P3</f>
        <v>0</v>
      </c>
      <c r="R3" s="11">
        <f t="shared" ref="R3:R13" si="0">AVERAGE(B3:P3)</f>
        <v>10.066666666666666</v>
      </c>
      <c r="S3" s="29"/>
      <c r="T3">
        <v>192</v>
      </c>
      <c r="V3" s="47"/>
      <c r="W3" s="27"/>
      <c r="X3" s="48" t="s">
        <v>83</v>
      </c>
      <c r="Y3" s="37">
        <f>R11</f>
        <v>11.6</v>
      </c>
      <c r="Z3" s="33">
        <f>R42</f>
        <v>45.6</v>
      </c>
      <c r="AA3" s="38">
        <f>R73</f>
        <v>65.400000000000006</v>
      </c>
      <c r="AC3" s="26"/>
      <c r="AD3" s="27"/>
      <c r="AE3" s="7" t="s">
        <v>83</v>
      </c>
      <c r="AF3" s="18">
        <v>71.7</v>
      </c>
      <c r="AG3" s="18">
        <v>63.8</v>
      </c>
      <c r="AH3" s="18">
        <v>71.5</v>
      </c>
    </row>
    <row r="4" spans="1:34" x14ac:dyDescent="0.2">
      <c r="A4" t="s">
        <v>5</v>
      </c>
      <c r="B4">
        <f>Comsuption!B4*Time!B4</f>
        <v>0</v>
      </c>
      <c r="C4">
        <f>Comsuption!C4*Time!C4</f>
        <v>0</v>
      </c>
      <c r="D4">
        <f>Comsuption!D4*Time!D4</f>
        <v>39</v>
      </c>
      <c r="E4">
        <f>Comsuption!E4*Time!E4</f>
        <v>0</v>
      </c>
      <c r="F4">
        <f>Comsuption!F4*Time!F4</f>
        <v>0</v>
      </c>
      <c r="G4">
        <f>Comsuption!G4*Time!G4</f>
        <v>0</v>
      </c>
      <c r="H4">
        <f>Comsuption!H4*Time!H4</f>
        <v>0</v>
      </c>
      <c r="I4">
        <f>Comsuption!I4*Time!I4</f>
        <v>0</v>
      </c>
      <c r="J4">
        <f>Comsuption!J4*Time!J4</f>
        <v>0</v>
      </c>
      <c r="K4">
        <f>Comsuption!K4*Time!K4</f>
        <v>0</v>
      </c>
      <c r="L4">
        <f>Comsuption!L4*Time!L4</f>
        <v>0</v>
      </c>
      <c r="M4">
        <f>Comsuption!M4*Time!M4</f>
        <v>0</v>
      </c>
      <c r="N4">
        <f>Comsuption!N4*Time!N4</f>
        <v>0</v>
      </c>
      <c r="O4">
        <f>Comsuption!O4*Time!O4</f>
        <v>0</v>
      </c>
      <c r="P4">
        <f>Comsuption!P4*Time!P4</f>
        <v>0</v>
      </c>
      <c r="R4" s="12">
        <f t="shared" si="0"/>
        <v>2.6</v>
      </c>
      <c r="S4" s="30"/>
      <c r="T4">
        <v>256</v>
      </c>
      <c r="V4" s="47"/>
      <c r="W4" s="27" t="s">
        <v>52</v>
      </c>
      <c r="X4" s="48" t="s">
        <v>53</v>
      </c>
      <c r="Y4" s="39">
        <f>R2</f>
        <v>35.06666666666667</v>
      </c>
      <c r="Z4" s="32">
        <f>R33</f>
        <v>49.3</v>
      </c>
      <c r="AA4" s="40">
        <f>R64</f>
        <v>38.299999999999997</v>
      </c>
      <c r="AC4" s="26"/>
      <c r="AD4" s="27" t="s">
        <v>52</v>
      </c>
      <c r="AE4" s="7" t="s">
        <v>53</v>
      </c>
      <c r="AF4" s="18">
        <v>54.4</v>
      </c>
      <c r="AG4" s="18">
        <v>55.2</v>
      </c>
      <c r="AH4" s="18">
        <v>49</v>
      </c>
    </row>
    <row r="5" spans="1:34" ht="17" thickBot="1" x14ac:dyDescent="0.25">
      <c r="A5" t="s">
        <v>6</v>
      </c>
      <c r="B5">
        <f>Comsuption!B5*Time!B5</f>
        <v>0</v>
      </c>
      <c r="C5">
        <f>Comsuption!C5*Time!C5</f>
        <v>65</v>
      </c>
      <c r="D5">
        <f>Comsuption!D5*Time!D5</f>
        <v>0</v>
      </c>
      <c r="E5">
        <f>Comsuption!E5*Time!E5</f>
        <v>0</v>
      </c>
      <c r="F5">
        <f>Comsuption!F5*Time!F5</f>
        <v>0</v>
      </c>
      <c r="G5">
        <f>Comsuption!G5*Time!G5</f>
        <v>56</v>
      </c>
      <c r="H5">
        <f>Comsuption!H5*Time!H5</f>
        <v>65</v>
      </c>
      <c r="I5">
        <f>Comsuption!I5*Time!I5</f>
        <v>0</v>
      </c>
      <c r="J5">
        <f>Comsuption!J5*Time!J5</f>
        <v>0</v>
      </c>
      <c r="K5">
        <f>Comsuption!K5*Time!K5</f>
        <v>0</v>
      </c>
      <c r="L5">
        <f>Comsuption!L5*Time!L5</f>
        <v>0</v>
      </c>
      <c r="M5">
        <f>Comsuption!M5*Time!M5</f>
        <v>0</v>
      </c>
      <c r="N5">
        <f>Comsuption!N5*Time!N5</f>
        <v>0</v>
      </c>
      <c r="O5">
        <f>Comsuption!O5*Time!O5</f>
        <v>0</v>
      </c>
      <c r="P5">
        <f>Comsuption!P5*Time!P5</f>
        <v>0</v>
      </c>
      <c r="R5" s="10">
        <f t="shared" si="0"/>
        <v>12.4</v>
      </c>
      <c r="S5" s="28" t="s">
        <v>55</v>
      </c>
      <c r="T5">
        <v>128</v>
      </c>
      <c r="V5" s="49"/>
      <c r="W5" s="50"/>
      <c r="X5" s="51" t="s">
        <v>83</v>
      </c>
      <c r="Y5" s="41">
        <f>R5</f>
        <v>12.4</v>
      </c>
      <c r="Z5" s="42">
        <f>R36</f>
        <v>54</v>
      </c>
      <c r="AA5" s="43">
        <f>R67</f>
        <v>32.299999999999997</v>
      </c>
      <c r="AC5" s="26"/>
      <c r="AD5" s="27"/>
      <c r="AE5" s="7" t="s">
        <v>83</v>
      </c>
      <c r="AF5" s="18">
        <v>65.3</v>
      </c>
      <c r="AG5" s="18">
        <v>77.599999999999994</v>
      </c>
      <c r="AH5" s="18">
        <v>78.7</v>
      </c>
    </row>
    <row r="6" spans="1:34" x14ac:dyDescent="0.2">
      <c r="A6" t="s">
        <v>7</v>
      </c>
      <c r="B6">
        <f>Comsuption!B6*Time!B6</f>
        <v>0</v>
      </c>
      <c r="C6">
        <f>Comsuption!C6*Time!C6</f>
        <v>0</v>
      </c>
      <c r="D6">
        <f>Comsuption!D6*Time!D6</f>
        <v>0</v>
      </c>
      <c r="E6">
        <f>Comsuption!E6*Time!E6</f>
        <v>72</v>
      </c>
      <c r="F6">
        <f>Comsuption!F6*Time!F6</f>
        <v>0</v>
      </c>
      <c r="G6">
        <f>Comsuption!G6*Time!G6</f>
        <v>0</v>
      </c>
      <c r="H6">
        <f>Comsuption!H6*Time!H6</f>
        <v>0</v>
      </c>
      <c r="I6">
        <f>Comsuption!I6*Time!I6</f>
        <v>47</v>
      </c>
      <c r="J6">
        <f>Comsuption!J6*Time!J6</f>
        <v>0</v>
      </c>
      <c r="K6">
        <f>Comsuption!K6*Time!K6</f>
        <v>0</v>
      </c>
      <c r="L6">
        <f>Comsuption!L6*Time!L6</f>
        <v>59</v>
      </c>
      <c r="M6">
        <f>Comsuption!M6*Time!M6</f>
        <v>64</v>
      </c>
      <c r="N6">
        <f>Comsuption!N6*Time!N6</f>
        <v>0</v>
      </c>
      <c r="O6">
        <f>Comsuption!O6*Time!O6</f>
        <v>67</v>
      </c>
      <c r="P6">
        <f>Comsuption!P6*Time!P6</f>
        <v>0</v>
      </c>
      <c r="R6" s="11">
        <f t="shared" si="0"/>
        <v>20.6</v>
      </c>
      <c r="S6" s="29"/>
      <c r="T6">
        <v>192</v>
      </c>
      <c r="V6" s="44">
        <v>192</v>
      </c>
      <c r="W6" s="45" t="s">
        <v>56</v>
      </c>
      <c r="X6" s="46" t="s">
        <v>53</v>
      </c>
      <c r="Y6" s="34">
        <f>R9</f>
        <v>1.9333333333333333</v>
      </c>
      <c r="Z6" s="35">
        <f>R40</f>
        <v>36</v>
      </c>
      <c r="AA6" s="36">
        <f>R71</f>
        <v>19.8</v>
      </c>
      <c r="AC6" s="26">
        <v>192</v>
      </c>
      <c r="AD6" s="27" t="s">
        <v>56</v>
      </c>
      <c r="AE6" s="7" t="s">
        <v>53</v>
      </c>
      <c r="AF6" s="18">
        <v>64.099999999999994</v>
      </c>
      <c r="AG6" s="18">
        <v>62.5</v>
      </c>
      <c r="AH6" s="18">
        <v>60.8</v>
      </c>
    </row>
    <row r="7" spans="1:34" x14ac:dyDescent="0.2">
      <c r="A7" t="s">
        <v>8</v>
      </c>
      <c r="B7">
        <f>Comsuption!B7*Time!B7</f>
        <v>0</v>
      </c>
      <c r="C7">
        <f>Comsuption!C7*Time!C7</f>
        <v>0</v>
      </c>
      <c r="D7">
        <f>Comsuption!D7*Time!D7</f>
        <v>0</v>
      </c>
      <c r="E7">
        <f>Comsuption!E7*Time!E7</f>
        <v>114</v>
      </c>
      <c r="F7">
        <f>Comsuption!F7*Time!F7</f>
        <v>0</v>
      </c>
      <c r="G7">
        <f>Comsuption!G7*Time!G7</f>
        <v>69</v>
      </c>
      <c r="H7">
        <f>Comsuption!H7*Time!H7</f>
        <v>0</v>
      </c>
      <c r="I7">
        <f>Comsuption!I7*Time!I7</f>
        <v>0</v>
      </c>
      <c r="J7">
        <f>Comsuption!J7*Time!J7</f>
        <v>0</v>
      </c>
      <c r="K7">
        <f>Comsuption!K7*Time!K7</f>
        <v>0</v>
      </c>
      <c r="L7">
        <f>Comsuption!L7*Time!L7</f>
        <v>0</v>
      </c>
      <c r="M7">
        <f>Comsuption!M7*Time!M7</f>
        <v>0</v>
      </c>
      <c r="N7">
        <f>Comsuption!N7*Time!N7</f>
        <v>61</v>
      </c>
      <c r="O7">
        <f>Comsuption!O7*Time!O7</f>
        <v>0</v>
      </c>
      <c r="P7">
        <f>Comsuption!P7*Time!P7</f>
        <v>0</v>
      </c>
      <c r="R7" s="12">
        <f t="shared" si="0"/>
        <v>16.266666666666666</v>
      </c>
      <c r="S7" s="30"/>
      <c r="T7">
        <v>256</v>
      </c>
      <c r="V7" s="47"/>
      <c r="W7" s="27"/>
      <c r="X7" s="48" t="s">
        <v>83</v>
      </c>
      <c r="Y7" s="37">
        <f>R12</f>
        <v>0</v>
      </c>
      <c r="Z7" s="33">
        <f>R43</f>
        <v>48.4</v>
      </c>
      <c r="AA7" s="38">
        <f>R74</f>
        <v>40.1</v>
      </c>
      <c r="AC7" s="26"/>
      <c r="AD7" s="27"/>
      <c r="AE7" s="7" t="s">
        <v>83</v>
      </c>
      <c r="AF7" s="18">
        <v>65.2</v>
      </c>
      <c r="AG7" s="18">
        <v>70.8</v>
      </c>
      <c r="AH7" s="18">
        <v>61.8</v>
      </c>
    </row>
    <row r="8" spans="1:34" x14ac:dyDescent="0.2">
      <c r="A8" t="s">
        <v>9</v>
      </c>
      <c r="B8">
        <f>Comsuption!B8*Time!B8</f>
        <v>0</v>
      </c>
      <c r="C8">
        <f>Comsuption!C8*Time!C8</f>
        <v>0</v>
      </c>
      <c r="D8">
        <f>Comsuption!D8*Time!D8</f>
        <v>0</v>
      </c>
      <c r="E8">
        <f>Comsuption!E8*Time!E8</f>
        <v>170</v>
      </c>
      <c r="F8">
        <f>Comsuption!F8*Time!F8</f>
        <v>0</v>
      </c>
      <c r="G8">
        <f>Comsuption!G8*Time!G8</f>
        <v>0</v>
      </c>
      <c r="H8">
        <f>Comsuption!H8*Time!H8</f>
        <v>0</v>
      </c>
      <c r="I8">
        <f>Comsuption!I8*Time!I8</f>
        <v>0</v>
      </c>
      <c r="J8">
        <f>Comsuption!J8*Time!J8</f>
        <v>82</v>
      </c>
      <c r="K8">
        <f>Comsuption!K8*Time!K8</f>
        <v>0</v>
      </c>
      <c r="L8">
        <f>Comsuption!L8*Time!L8</f>
        <v>0</v>
      </c>
      <c r="M8">
        <f>Comsuption!M8*Time!M8</f>
        <v>0</v>
      </c>
      <c r="N8">
        <f>Comsuption!N8*Time!N8</f>
        <v>0</v>
      </c>
      <c r="O8">
        <f>Comsuption!O8*Time!O8</f>
        <v>0</v>
      </c>
      <c r="P8">
        <f>Comsuption!P8*Time!P8</f>
        <v>0</v>
      </c>
      <c r="R8" s="10">
        <f t="shared" si="0"/>
        <v>16.8</v>
      </c>
      <c r="S8" s="28" t="s">
        <v>57</v>
      </c>
      <c r="T8">
        <v>128</v>
      </c>
      <c r="V8" s="47"/>
      <c r="W8" s="27" t="s">
        <v>52</v>
      </c>
      <c r="X8" s="48" t="s">
        <v>53</v>
      </c>
      <c r="Y8" s="39">
        <f>R3</f>
        <v>10.066666666666666</v>
      </c>
      <c r="Z8" s="32">
        <f>R34</f>
        <v>21.6</v>
      </c>
      <c r="AA8" s="40">
        <f>R65</f>
        <v>53.9</v>
      </c>
      <c r="AC8" s="26"/>
      <c r="AD8" s="27" t="s">
        <v>52</v>
      </c>
      <c r="AE8" s="7" t="s">
        <v>53</v>
      </c>
      <c r="AF8" s="18">
        <v>59</v>
      </c>
      <c r="AG8" s="18">
        <v>68.2</v>
      </c>
      <c r="AH8" s="18">
        <v>76.5</v>
      </c>
    </row>
    <row r="9" spans="1:34" ht="17" thickBot="1" x14ac:dyDescent="0.25">
      <c r="A9" t="s">
        <v>10</v>
      </c>
      <c r="B9">
        <f>Comsuption!B9*Time!B9</f>
        <v>29</v>
      </c>
      <c r="C9">
        <f>Comsuption!C9*Time!C9</f>
        <v>0</v>
      </c>
      <c r="D9">
        <f>Comsuption!D9*Time!D9</f>
        <v>0</v>
      </c>
      <c r="E9">
        <f>Comsuption!E9*Time!E9</f>
        <v>0</v>
      </c>
      <c r="F9">
        <f>Comsuption!F9*Time!F9</f>
        <v>0</v>
      </c>
      <c r="G9">
        <f>Comsuption!G9*Time!G9</f>
        <v>0</v>
      </c>
      <c r="H9">
        <f>Comsuption!H9*Time!H9</f>
        <v>0</v>
      </c>
      <c r="I9">
        <f>Comsuption!I9*Time!I9</f>
        <v>0</v>
      </c>
      <c r="J9">
        <f>Comsuption!J9*Time!J9</f>
        <v>0</v>
      </c>
      <c r="K9">
        <f>Comsuption!K9*Time!K9</f>
        <v>0</v>
      </c>
      <c r="L9">
        <f>Comsuption!L9*Time!L9</f>
        <v>0</v>
      </c>
      <c r="M9">
        <f>Comsuption!M9*Time!M9</f>
        <v>0</v>
      </c>
      <c r="N9">
        <f>Comsuption!N9*Time!N9</f>
        <v>0</v>
      </c>
      <c r="O9">
        <f>Comsuption!O9*Time!O9</f>
        <v>0</v>
      </c>
      <c r="P9">
        <f>Comsuption!P9*Time!P9</f>
        <v>0</v>
      </c>
      <c r="R9" s="11">
        <f t="shared" si="0"/>
        <v>1.9333333333333333</v>
      </c>
      <c r="S9" s="29"/>
      <c r="T9">
        <v>192</v>
      </c>
      <c r="V9" s="49"/>
      <c r="W9" s="50"/>
      <c r="X9" s="51" t="s">
        <v>83</v>
      </c>
      <c r="Y9" s="41">
        <f>R6</f>
        <v>20.6</v>
      </c>
      <c r="Z9" s="42">
        <f>R37</f>
        <v>46.2</v>
      </c>
      <c r="AA9" s="43">
        <f>R68</f>
        <v>44.1</v>
      </c>
      <c r="AC9" s="26"/>
      <c r="AD9" s="27"/>
      <c r="AE9" s="7" t="s">
        <v>83</v>
      </c>
      <c r="AF9" s="18">
        <v>74.2</v>
      </c>
      <c r="AG9" s="18">
        <v>63.4</v>
      </c>
      <c r="AH9" s="18">
        <v>66.8</v>
      </c>
    </row>
    <row r="10" spans="1:34" x14ac:dyDescent="0.2">
      <c r="A10" t="s">
        <v>11</v>
      </c>
      <c r="B10">
        <f>Comsuption!B10*Time!B10</f>
        <v>0</v>
      </c>
      <c r="C10">
        <f>Comsuption!C10*Time!C10</f>
        <v>64</v>
      </c>
      <c r="D10">
        <f>Comsuption!D10*Time!D10</f>
        <v>0</v>
      </c>
      <c r="E10">
        <f>Comsuption!E10*Time!E10</f>
        <v>0</v>
      </c>
      <c r="F10">
        <f>Comsuption!F10*Time!F10</f>
        <v>0</v>
      </c>
      <c r="G10">
        <f>Comsuption!G10*Time!G10</f>
        <v>0</v>
      </c>
      <c r="H10">
        <f>Comsuption!H10*Time!H10</f>
        <v>0</v>
      </c>
      <c r="I10">
        <f>Comsuption!I10*Time!I10</f>
        <v>0</v>
      </c>
      <c r="J10">
        <f>Comsuption!J10*Time!J10</f>
        <v>0</v>
      </c>
      <c r="K10">
        <f>Comsuption!K10*Time!K10</f>
        <v>0</v>
      </c>
      <c r="L10">
        <f>Comsuption!L10*Time!L10</f>
        <v>92</v>
      </c>
      <c r="M10">
        <f>Comsuption!M10*Time!M10</f>
        <v>67</v>
      </c>
      <c r="N10">
        <f>Comsuption!N10*Time!N10</f>
        <v>0</v>
      </c>
      <c r="O10">
        <f>Comsuption!O10*Time!O10</f>
        <v>0</v>
      </c>
      <c r="P10">
        <f>Comsuption!P10*Time!P10</f>
        <v>0</v>
      </c>
      <c r="R10" s="12">
        <f t="shared" si="0"/>
        <v>14.866666666666667</v>
      </c>
      <c r="S10" s="30"/>
      <c r="T10">
        <v>256</v>
      </c>
      <c r="V10" s="44">
        <v>256</v>
      </c>
      <c r="W10" s="45" t="s">
        <v>56</v>
      </c>
      <c r="X10" s="46" t="s">
        <v>53</v>
      </c>
      <c r="Y10" s="34">
        <f>R10</f>
        <v>14.866666666666667</v>
      </c>
      <c r="Z10" s="35">
        <f>R41</f>
        <v>52.8</v>
      </c>
      <c r="AA10" s="36">
        <f>R72</f>
        <v>27.1</v>
      </c>
      <c r="AC10" s="26">
        <v>256</v>
      </c>
      <c r="AD10" s="27" t="s">
        <v>56</v>
      </c>
      <c r="AE10" s="7" t="s">
        <v>53</v>
      </c>
      <c r="AF10" s="18">
        <v>72.099999999999994</v>
      </c>
      <c r="AG10" s="18">
        <v>61.8</v>
      </c>
      <c r="AH10" s="18">
        <v>64.5</v>
      </c>
    </row>
    <row r="11" spans="1:34" x14ac:dyDescent="0.2">
      <c r="A11" t="s">
        <v>12</v>
      </c>
      <c r="B11">
        <f>Comsuption!B11*Time!B11</f>
        <v>0</v>
      </c>
      <c r="C11">
        <f>Comsuption!C11*Time!C11</f>
        <v>0</v>
      </c>
      <c r="D11">
        <f>Comsuption!D11*Time!D11</f>
        <v>0</v>
      </c>
      <c r="E11">
        <f>Comsuption!E11*Time!E11</f>
        <v>0</v>
      </c>
      <c r="F11">
        <f>Comsuption!F11*Time!F11</f>
        <v>80</v>
      </c>
      <c r="G11">
        <f>Comsuption!G11*Time!G11</f>
        <v>0</v>
      </c>
      <c r="H11">
        <f>Comsuption!H11*Time!H11</f>
        <v>0</v>
      </c>
      <c r="I11">
        <f>Comsuption!I11*Time!I11</f>
        <v>0</v>
      </c>
      <c r="J11">
        <f>Comsuption!J11*Time!J11</f>
        <v>0</v>
      </c>
      <c r="K11">
        <f>Comsuption!K11*Time!K11</f>
        <v>94</v>
      </c>
      <c r="L11">
        <f>Comsuption!L11*Time!L11</f>
        <v>0</v>
      </c>
      <c r="M11">
        <f>Comsuption!M11*Time!M11</f>
        <v>0</v>
      </c>
      <c r="N11">
        <f>Comsuption!N11*Time!N11</f>
        <v>0</v>
      </c>
      <c r="O11">
        <f>Comsuption!O11*Time!O11</f>
        <v>0</v>
      </c>
      <c r="P11">
        <f>Comsuption!P11*Time!P11</f>
        <v>0</v>
      </c>
      <c r="R11" s="10">
        <f t="shared" si="0"/>
        <v>11.6</v>
      </c>
      <c r="S11" s="28" t="s">
        <v>58</v>
      </c>
      <c r="T11">
        <v>128</v>
      </c>
      <c r="V11" s="47"/>
      <c r="W11" s="27"/>
      <c r="X11" s="48" t="s">
        <v>83</v>
      </c>
      <c r="Y11" s="37">
        <f>R13</f>
        <v>6.2666666666666666</v>
      </c>
      <c r="Z11" s="33">
        <f>R44</f>
        <v>41.9</v>
      </c>
      <c r="AA11" s="38">
        <f>R75</f>
        <v>46.8</v>
      </c>
      <c r="AC11" s="26"/>
      <c r="AD11" s="27"/>
      <c r="AE11" s="7" t="s">
        <v>83</v>
      </c>
      <c r="AF11" s="18">
        <v>71</v>
      </c>
      <c r="AG11" s="18">
        <v>56.9</v>
      </c>
      <c r="AH11" s="18">
        <v>73.8</v>
      </c>
    </row>
    <row r="12" spans="1:34" x14ac:dyDescent="0.2">
      <c r="A12" t="s">
        <v>13</v>
      </c>
      <c r="B12">
        <f>Comsuption!B12*Time!B12</f>
        <v>0</v>
      </c>
      <c r="C12">
        <f>Comsuption!C12*Time!C12</f>
        <v>0</v>
      </c>
      <c r="D12">
        <f>Comsuption!D12*Time!D12</f>
        <v>0</v>
      </c>
      <c r="E12">
        <f>Comsuption!E12*Time!E12</f>
        <v>0</v>
      </c>
      <c r="F12">
        <f>Comsuption!F12*Time!F12</f>
        <v>0</v>
      </c>
      <c r="G12">
        <f>Comsuption!G12*Time!G12</f>
        <v>0</v>
      </c>
      <c r="H12">
        <f>Comsuption!H12*Time!H12</f>
        <v>0</v>
      </c>
      <c r="I12">
        <f>Comsuption!I12*Time!I12</f>
        <v>0</v>
      </c>
      <c r="J12">
        <f>Comsuption!J12*Time!J12</f>
        <v>0</v>
      </c>
      <c r="K12">
        <f>Comsuption!K12*Time!K12</f>
        <v>0</v>
      </c>
      <c r="L12">
        <f>Comsuption!L12*Time!L12</f>
        <v>0</v>
      </c>
      <c r="M12">
        <f>Comsuption!M12*Time!M12</f>
        <v>0</v>
      </c>
      <c r="N12">
        <f>Comsuption!N12*Time!N12</f>
        <v>0</v>
      </c>
      <c r="O12">
        <f>Comsuption!O12*Time!O12</f>
        <v>0</v>
      </c>
      <c r="P12">
        <f>Comsuption!P12*Time!P12</f>
        <v>0</v>
      </c>
      <c r="R12" s="11">
        <f t="shared" si="0"/>
        <v>0</v>
      </c>
      <c r="S12" s="29"/>
      <c r="T12">
        <v>192</v>
      </c>
      <c r="V12" s="47"/>
      <c r="W12" s="27" t="s">
        <v>52</v>
      </c>
      <c r="X12" s="48" t="s">
        <v>53</v>
      </c>
      <c r="Y12" s="39">
        <f>R4</f>
        <v>2.6</v>
      </c>
      <c r="Z12" s="32">
        <f>R35</f>
        <v>7.7</v>
      </c>
      <c r="AA12" s="40">
        <f>R66</f>
        <v>39.4</v>
      </c>
      <c r="AC12" s="26"/>
      <c r="AD12" s="27" t="s">
        <v>52</v>
      </c>
      <c r="AE12" s="7" t="s">
        <v>53</v>
      </c>
      <c r="AF12" s="18">
        <v>57.2</v>
      </c>
      <c r="AG12" s="18">
        <v>61.9</v>
      </c>
      <c r="AH12" s="18">
        <v>70.400000000000006</v>
      </c>
    </row>
    <row r="13" spans="1:34" ht="17" thickBot="1" x14ac:dyDescent="0.25">
      <c r="A13" t="s">
        <v>14</v>
      </c>
      <c r="B13">
        <f>Comsuption!B13*Time!B13</f>
        <v>0</v>
      </c>
      <c r="C13">
        <f>Comsuption!C13*Time!C13</f>
        <v>0</v>
      </c>
      <c r="D13">
        <f>Comsuption!D13*Time!D13</f>
        <v>0</v>
      </c>
      <c r="E13">
        <f>Comsuption!E13*Time!E13</f>
        <v>94</v>
      </c>
      <c r="F13">
        <f>Comsuption!F13*Time!F13</f>
        <v>0</v>
      </c>
      <c r="G13">
        <f>Comsuption!G13*Time!G13</f>
        <v>0</v>
      </c>
      <c r="H13">
        <f>Comsuption!H13*Time!H13</f>
        <v>0</v>
      </c>
      <c r="I13">
        <f>Comsuption!I13*Time!I13</f>
        <v>0</v>
      </c>
      <c r="J13">
        <f>Comsuption!J13*Time!J13</f>
        <v>0</v>
      </c>
      <c r="K13">
        <f>Comsuption!K13*Time!K13</f>
        <v>0</v>
      </c>
      <c r="L13">
        <f>Comsuption!L13*Time!L13</f>
        <v>0</v>
      </c>
      <c r="M13">
        <f>Comsuption!M13*Time!M13</f>
        <v>0</v>
      </c>
      <c r="N13">
        <f>Comsuption!N13*Time!N13</f>
        <v>0</v>
      </c>
      <c r="O13">
        <f>Comsuption!O13*Time!O13</f>
        <v>0</v>
      </c>
      <c r="P13">
        <f>Comsuption!P13*Time!P13</f>
        <v>0</v>
      </c>
      <c r="R13" s="12">
        <f t="shared" si="0"/>
        <v>6.2666666666666666</v>
      </c>
      <c r="S13" s="30"/>
      <c r="T13">
        <v>256</v>
      </c>
      <c r="V13" s="49"/>
      <c r="W13" s="50"/>
      <c r="X13" s="51" t="s">
        <v>83</v>
      </c>
      <c r="Y13" s="41">
        <f>R7</f>
        <v>16.266666666666666</v>
      </c>
      <c r="Z13" s="42">
        <f>R38</f>
        <v>41.2</v>
      </c>
      <c r="AA13" s="43">
        <f>R69</f>
        <v>30.1</v>
      </c>
      <c r="AC13" s="26"/>
      <c r="AD13" s="27"/>
      <c r="AE13" s="7" t="s">
        <v>83</v>
      </c>
      <c r="AF13" s="18">
        <v>64.5</v>
      </c>
      <c r="AG13" s="18">
        <v>60.3</v>
      </c>
      <c r="AH13" s="18">
        <v>61.9</v>
      </c>
    </row>
    <row r="14" spans="1:34" x14ac:dyDescent="0.2">
      <c r="AF14" s="5"/>
      <c r="AG14" s="5"/>
      <c r="AH14" s="5"/>
    </row>
    <row r="15" spans="1:34" ht="17" thickBot="1" x14ac:dyDescent="0.25">
      <c r="AF15" s="5"/>
      <c r="AG15" s="5"/>
      <c r="AH15" s="5"/>
    </row>
    <row r="16" spans="1:34" ht="17" thickBot="1" x14ac:dyDescent="0.25">
      <c r="A16" s="1" t="s">
        <v>0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/>
      <c r="M16" s="1"/>
      <c r="N16" s="1"/>
      <c r="O16" s="1"/>
      <c r="P16" s="1"/>
      <c r="R16" s="24" t="s">
        <v>51</v>
      </c>
      <c r="V16" s="2" t="s">
        <v>84</v>
      </c>
      <c r="W16" t="s">
        <v>96</v>
      </c>
      <c r="Y16" s="52">
        <v>10</v>
      </c>
      <c r="Z16" s="53">
        <v>100</v>
      </c>
      <c r="AA16" s="54">
        <v>200</v>
      </c>
      <c r="AC16" s="2" t="s">
        <v>84</v>
      </c>
      <c r="AD16" t="s">
        <v>95</v>
      </c>
      <c r="AF16" s="8">
        <v>10</v>
      </c>
      <c r="AG16" s="8">
        <v>100</v>
      </c>
      <c r="AH16" s="8">
        <v>200</v>
      </c>
    </row>
    <row r="17" spans="1:34" x14ac:dyDescent="0.2">
      <c r="A17" t="s">
        <v>15</v>
      </c>
      <c r="B17">
        <f>Comsuption!B17*Time!B17</f>
        <v>0</v>
      </c>
      <c r="C17">
        <f>Comsuption!C17*Time!C17</f>
        <v>62</v>
      </c>
      <c r="D17">
        <f>Comsuption!D17*Time!D17</f>
        <v>78</v>
      </c>
      <c r="E17">
        <f>Comsuption!E17*Time!E17</f>
        <v>0</v>
      </c>
      <c r="F17">
        <f>Comsuption!F17*Time!F17</f>
        <v>31</v>
      </c>
      <c r="G17">
        <f>Comsuption!G17*Time!G17</f>
        <v>58</v>
      </c>
      <c r="H17">
        <f>Comsuption!H17*Time!H17</f>
        <v>0</v>
      </c>
      <c r="I17">
        <f>Comsuption!I17*Time!I17</f>
        <v>0</v>
      </c>
      <c r="J17">
        <f>Comsuption!J17*Time!J17</f>
        <v>0</v>
      </c>
      <c r="K17">
        <f>Comsuption!K17*Time!K17</f>
        <v>0</v>
      </c>
      <c r="R17" s="10">
        <f>AVERAGE(B17:Q17)</f>
        <v>22.9</v>
      </c>
      <c r="S17" s="28" t="s">
        <v>54</v>
      </c>
      <c r="V17" s="44">
        <v>128</v>
      </c>
      <c r="W17" s="45" t="s">
        <v>56</v>
      </c>
      <c r="X17" s="46" t="s">
        <v>53</v>
      </c>
      <c r="Y17" s="34">
        <f>R23</f>
        <v>21.9</v>
      </c>
      <c r="Z17" s="35">
        <f>R54</f>
        <v>32.6</v>
      </c>
      <c r="AA17" s="36">
        <f>R85</f>
        <v>36.4</v>
      </c>
      <c r="AC17" s="26">
        <v>128</v>
      </c>
      <c r="AD17" s="27" t="s">
        <v>56</v>
      </c>
      <c r="AE17" s="7" t="s">
        <v>53</v>
      </c>
      <c r="AF17" s="18">
        <v>64.8</v>
      </c>
      <c r="AG17" s="18">
        <v>66</v>
      </c>
      <c r="AH17" s="18">
        <v>61.2</v>
      </c>
    </row>
    <row r="18" spans="1:34" x14ac:dyDescent="0.2">
      <c r="A18" t="s">
        <v>16</v>
      </c>
      <c r="B18">
        <f>Comsuption!B18*Time!B18</f>
        <v>66</v>
      </c>
      <c r="C18">
        <f>Comsuption!C18*Time!C18</f>
        <v>0</v>
      </c>
      <c r="D18">
        <f>Comsuption!D18*Time!D18</f>
        <v>0</v>
      </c>
      <c r="E18">
        <f>Comsuption!E18*Time!E18</f>
        <v>0</v>
      </c>
      <c r="F18">
        <f>Comsuption!F18*Time!F18</f>
        <v>0</v>
      </c>
      <c r="G18">
        <f>Comsuption!G18*Time!G18</f>
        <v>62</v>
      </c>
      <c r="H18">
        <f>Comsuption!H18*Time!H18</f>
        <v>0</v>
      </c>
      <c r="I18">
        <f>Comsuption!I18*Time!I18</f>
        <v>0</v>
      </c>
      <c r="J18">
        <f>Comsuption!J18*Time!J18</f>
        <v>0</v>
      </c>
      <c r="K18">
        <f>Comsuption!K18*Time!K18</f>
        <v>0</v>
      </c>
      <c r="R18" s="11">
        <f t="shared" ref="R18:R28" si="1">AVERAGE(B18:Q18)</f>
        <v>12.8</v>
      </c>
      <c r="S18" s="29"/>
      <c r="V18" s="47"/>
      <c r="W18" s="27"/>
      <c r="X18" s="48" t="s">
        <v>83</v>
      </c>
      <c r="Y18" s="37">
        <f>R26</f>
        <v>0</v>
      </c>
      <c r="Z18" s="33">
        <f>R57</f>
        <v>30.2</v>
      </c>
      <c r="AA18" s="38">
        <f>R88</f>
        <v>59.6</v>
      </c>
      <c r="AC18" s="26"/>
      <c r="AD18" s="27"/>
      <c r="AE18" s="7" t="s">
        <v>83</v>
      </c>
      <c r="AF18" s="18">
        <v>59.2</v>
      </c>
      <c r="AG18" s="18">
        <v>62</v>
      </c>
      <c r="AH18" s="18">
        <v>65.2</v>
      </c>
    </row>
    <row r="19" spans="1:34" x14ac:dyDescent="0.2">
      <c r="A19" t="s">
        <v>17</v>
      </c>
      <c r="B19">
        <f>Comsuption!B19*Time!B19</f>
        <v>73</v>
      </c>
      <c r="C19">
        <f>Comsuption!C19*Time!C19</f>
        <v>77</v>
      </c>
      <c r="D19">
        <f>Comsuption!D19*Time!D19</f>
        <v>0</v>
      </c>
      <c r="E19">
        <f>Comsuption!E19*Time!E19</f>
        <v>0</v>
      </c>
      <c r="F19">
        <f>Comsuption!F19*Time!F19</f>
        <v>0</v>
      </c>
      <c r="G19">
        <f>Comsuption!G19*Time!G19</f>
        <v>84</v>
      </c>
      <c r="H19">
        <f>Comsuption!H19*Time!H19</f>
        <v>0</v>
      </c>
      <c r="I19">
        <f>Comsuption!I19*Time!I19</f>
        <v>0</v>
      </c>
      <c r="J19">
        <f>Comsuption!J19*Time!J19</f>
        <v>0</v>
      </c>
      <c r="K19">
        <f>Comsuption!K19*Time!K19</f>
        <v>82</v>
      </c>
      <c r="R19" s="12">
        <f t="shared" si="1"/>
        <v>31.6</v>
      </c>
      <c r="S19" s="30"/>
      <c r="V19" s="47"/>
      <c r="W19" s="27" t="s">
        <v>52</v>
      </c>
      <c r="X19" s="48" t="s">
        <v>53</v>
      </c>
      <c r="Y19" s="39">
        <f>R17</f>
        <v>22.9</v>
      </c>
      <c r="Z19" s="32">
        <f>R48</f>
        <v>7.6</v>
      </c>
      <c r="AA19" s="40">
        <f>R79</f>
        <v>11.5</v>
      </c>
      <c r="AC19" s="26"/>
      <c r="AD19" s="27" t="s">
        <v>52</v>
      </c>
      <c r="AE19" s="7" t="s">
        <v>53</v>
      </c>
      <c r="AF19" s="18">
        <v>51.6</v>
      </c>
      <c r="AG19" s="18">
        <v>54.7</v>
      </c>
      <c r="AH19" s="18">
        <v>57.4</v>
      </c>
    </row>
    <row r="20" spans="1:34" ht="17" thickBot="1" x14ac:dyDescent="0.25">
      <c r="A20" t="s">
        <v>18</v>
      </c>
      <c r="B20">
        <f>Comsuption!B20*Time!B20</f>
        <v>0</v>
      </c>
      <c r="C20">
        <f>Comsuption!C20*Time!C20</f>
        <v>0</v>
      </c>
      <c r="D20">
        <f>Comsuption!D20*Time!D20</f>
        <v>0</v>
      </c>
      <c r="E20">
        <f>Comsuption!E20*Time!E20</f>
        <v>0</v>
      </c>
      <c r="F20">
        <f>Comsuption!F20*Time!F20</f>
        <v>0</v>
      </c>
      <c r="G20">
        <f>Comsuption!G20*Time!G20</f>
        <v>162</v>
      </c>
      <c r="H20">
        <f>Comsuption!H20*Time!H20</f>
        <v>0</v>
      </c>
      <c r="I20">
        <f>Comsuption!I20*Time!I20</f>
        <v>75</v>
      </c>
      <c r="J20">
        <f>Comsuption!J20*Time!J20</f>
        <v>0</v>
      </c>
      <c r="K20">
        <f>Comsuption!K20*Time!K20</f>
        <v>0</v>
      </c>
      <c r="R20" s="10">
        <f t="shared" si="1"/>
        <v>23.7</v>
      </c>
      <c r="S20" s="28" t="s">
        <v>55</v>
      </c>
      <c r="V20" s="49"/>
      <c r="W20" s="50"/>
      <c r="X20" s="51" t="s">
        <v>83</v>
      </c>
      <c r="Y20" s="41">
        <f>R20</f>
        <v>23.7</v>
      </c>
      <c r="Z20" s="42">
        <f>R51</f>
        <v>25.8</v>
      </c>
      <c r="AA20" s="43">
        <f>R82</f>
        <v>24.3</v>
      </c>
      <c r="AC20" s="26"/>
      <c r="AD20" s="27"/>
      <c r="AE20" s="7" t="s">
        <v>83</v>
      </c>
      <c r="AF20" s="18">
        <v>73.8</v>
      </c>
      <c r="AG20" s="18">
        <v>71</v>
      </c>
      <c r="AH20" s="18">
        <v>58.2</v>
      </c>
    </row>
    <row r="21" spans="1:34" x14ac:dyDescent="0.2">
      <c r="A21" t="s">
        <v>19</v>
      </c>
      <c r="B21">
        <f>Comsuption!B21*Time!B21</f>
        <v>0</v>
      </c>
      <c r="C21">
        <f>Comsuption!C21*Time!C21</f>
        <v>0</v>
      </c>
      <c r="D21">
        <f>Comsuption!D21*Time!D21</f>
        <v>47</v>
      </c>
      <c r="E21">
        <f>Comsuption!E21*Time!E21</f>
        <v>0</v>
      </c>
      <c r="F21">
        <f>Comsuption!F21*Time!F21</f>
        <v>0</v>
      </c>
      <c r="G21">
        <f>Comsuption!G21*Time!G21</f>
        <v>0</v>
      </c>
      <c r="H21">
        <f>Comsuption!H21*Time!H21</f>
        <v>0</v>
      </c>
      <c r="I21">
        <f>Comsuption!I21*Time!I21</f>
        <v>0</v>
      </c>
      <c r="J21">
        <f>Comsuption!J21*Time!J21</f>
        <v>0</v>
      </c>
      <c r="K21">
        <f>Comsuption!K21*Time!K21</f>
        <v>0</v>
      </c>
      <c r="R21" s="11">
        <f t="shared" si="1"/>
        <v>4.7</v>
      </c>
      <c r="S21" s="29"/>
      <c r="V21" s="44">
        <v>192</v>
      </c>
      <c r="W21" s="45" t="s">
        <v>56</v>
      </c>
      <c r="X21" s="46" t="s">
        <v>53</v>
      </c>
      <c r="Y21" s="34">
        <f>R24</f>
        <v>10.5</v>
      </c>
      <c r="Z21" s="35">
        <f>R55</f>
        <v>59.9</v>
      </c>
      <c r="AA21" s="36">
        <f>R86</f>
        <v>38.1</v>
      </c>
      <c r="AC21" s="26">
        <v>192</v>
      </c>
      <c r="AD21" s="27" t="s">
        <v>56</v>
      </c>
      <c r="AE21" s="7" t="s">
        <v>53</v>
      </c>
      <c r="AF21" s="18">
        <v>61.5</v>
      </c>
      <c r="AG21" s="18">
        <v>61.5</v>
      </c>
      <c r="AH21" s="18">
        <v>65.099999999999994</v>
      </c>
    </row>
    <row r="22" spans="1:34" x14ac:dyDescent="0.2">
      <c r="A22" t="s">
        <v>20</v>
      </c>
      <c r="B22">
        <f>Comsuption!B22*Time!B22</f>
        <v>74</v>
      </c>
      <c r="C22">
        <f>Comsuption!C22*Time!C22</f>
        <v>73</v>
      </c>
      <c r="D22">
        <f>Comsuption!D22*Time!D22</f>
        <v>0</v>
      </c>
      <c r="E22">
        <f>Comsuption!E22*Time!E22</f>
        <v>0</v>
      </c>
      <c r="F22">
        <f>Comsuption!F22*Time!F22</f>
        <v>0</v>
      </c>
      <c r="G22">
        <f>Comsuption!G22*Time!G22</f>
        <v>0</v>
      </c>
      <c r="H22">
        <f>Comsuption!H22*Time!H22</f>
        <v>91</v>
      </c>
      <c r="I22">
        <f>Comsuption!I22*Time!I22</f>
        <v>71</v>
      </c>
      <c r="J22">
        <f>Comsuption!J22*Time!J22</f>
        <v>0</v>
      </c>
      <c r="K22">
        <f>Comsuption!K22*Time!K22</f>
        <v>66</v>
      </c>
      <c r="R22" s="12">
        <f t="shared" si="1"/>
        <v>37.5</v>
      </c>
      <c r="S22" s="30"/>
      <c r="V22" s="47"/>
      <c r="W22" s="27"/>
      <c r="X22" s="48" t="s">
        <v>83</v>
      </c>
      <c r="Y22" s="37">
        <f>R27</f>
        <v>4.3</v>
      </c>
      <c r="Z22" s="33">
        <f>R58</f>
        <v>17.3</v>
      </c>
      <c r="AA22" s="38">
        <f>R89</f>
        <v>33.1</v>
      </c>
      <c r="AC22" s="26"/>
      <c r="AD22" s="27"/>
      <c r="AE22" s="7" t="s">
        <v>83</v>
      </c>
      <c r="AF22" s="18">
        <v>69.400000000000006</v>
      </c>
      <c r="AG22" s="18">
        <v>52.8</v>
      </c>
      <c r="AH22" s="18">
        <v>65.5</v>
      </c>
    </row>
    <row r="23" spans="1:34" x14ac:dyDescent="0.2">
      <c r="A23" t="s">
        <v>21</v>
      </c>
      <c r="B23">
        <f>Comsuption!B23*Time!B23</f>
        <v>0</v>
      </c>
      <c r="C23">
        <f>Comsuption!C23*Time!C23</f>
        <v>0</v>
      </c>
      <c r="D23">
        <f>Comsuption!D23*Time!D23</f>
        <v>0</v>
      </c>
      <c r="E23">
        <f>Comsuption!E23*Time!E23</f>
        <v>219</v>
      </c>
      <c r="F23">
        <f>Comsuption!F23*Time!F23</f>
        <v>0</v>
      </c>
      <c r="G23">
        <f>Comsuption!G23*Time!G23</f>
        <v>0</v>
      </c>
      <c r="H23">
        <f>Comsuption!H23*Time!H23</f>
        <v>0</v>
      </c>
      <c r="I23">
        <f>Comsuption!I23*Time!I23</f>
        <v>0</v>
      </c>
      <c r="J23">
        <f>Comsuption!J23*Time!J23</f>
        <v>0</v>
      </c>
      <c r="K23">
        <f>Comsuption!K23*Time!K23</f>
        <v>0</v>
      </c>
      <c r="R23" s="10">
        <f t="shared" si="1"/>
        <v>21.9</v>
      </c>
      <c r="S23" s="28" t="s">
        <v>57</v>
      </c>
      <c r="V23" s="47"/>
      <c r="W23" s="27" t="s">
        <v>52</v>
      </c>
      <c r="X23" s="48" t="s">
        <v>53</v>
      </c>
      <c r="Y23" s="39">
        <f>R18</f>
        <v>12.8</v>
      </c>
      <c r="Z23" s="32">
        <f>R49</f>
        <v>66.3</v>
      </c>
      <c r="AA23" s="40">
        <f>R80</f>
        <v>27.1</v>
      </c>
      <c r="AC23" s="26"/>
      <c r="AD23" s="27" t="s">
        <v>52</v>
      </c>
      <c r="AE23" s="7" t="s">
        <v>53</v>
      </c>
      <c r="AF23" s="18">
        <v>64.099999999999994</v>
      </c>
      <c r="AG23" s="18">
        <v>74.099999999999994</v>
      </c>
      <c r="AH23" s="18">
        <v>61.4</v>
      </c>
    </row>
    <row r="24" spans="1:34" ht="17" thickBot="1" x14ac:dyDescent="0.25">
      <c r="A24" t="s">
        <v>22</v>
      </c>
      <c r="B24">
        <f>Comsuption!B24*Time!B24</f>
        <v>105</v>
      </c>
      <c r="C24">
        <f>Comsuption!C24*Time!C24</f>
        <v>0</v>
      </c>
      <c r="D24">
        <f>Comsuption!D24*Time!D24</f>
        <v>0</v>
      </c>
      <c r="E24">
        <f>Comsuption!E24*Time!E24</f>
        <v>0</v>
      </c>
      <c r="F24">
        <f>Comsuption!F24*Time!F24</f>
        <v>0</v>
      </c>
      <c r="G24">
        <f>Comsuption!G24*Time!G24</f>
        <v>0</v>
      </c>
      <c r="H24">
        <f>Comsuption!H24*Time!H24</f>
        <v>0</v>
      </c>
      <c r="I24">
        <f>Comsuption!I24*Time!I24</f>
        <v>0</v>
      </c>
      <c r="J24">
        <f>Comsuption!J24*Time!J24</f>
        <v>0</v>
      </c>
      <c r="K24">
        <f>Comsuption!K24*Time!K24</f>
        <v>0</v>
      </c>
      <c r="R24" s="11">
        <f t="shared" si="1"/>
        <v>10.5</v>
      </c>
      <c r="S24" s="29"/>
      <c r="V24" s="49"/>
      <c r="W24" s="50"/>
      <c r="X24" s="51" t="s">
        <v>83</v>
      </c>
      <c r="Y24" s="41">
        <f>R21</f>
        <v>4.7</v>
      </c>
      <c r="Z24" s="42">
        <f>R52</f>
        <v>46</v>
      </c>
      <c r="AA24" s="43">
        <f>R83</f>
        <v>75.400000000000006</v>
      </c>
      <c r="AC24" s="26"/>
      <c r="AD24" s="27"/>
      <c r="AE24" s="7" t="s">
        <v>83</v>
      </c>
      <c r="AF24" s="18">
        <v>61.7</v>
      </c>
      <c r="AG24" s="18">
        <v>66.2</v>
      </c>
      <c r="AH24" s="18">
        <v>71.8</v>
      </c>
    </row>
    <row r="25" spans="1:34" x14ac:dyDescent="0.2">
      <c r="A25" t="s">
        <v>23</v>
      </c>
      <c r="B25">
        <f>Comsuption!B25*Time!B25</f>
        <v>0</v>
      </c>
      <c r="C25">
        <f>Comsuption!C25*Time!C25</f>
        <v>29</v>
      </c>
      <c r="D25">
        <f>Comsuption!D25*Time!D25</f>
        <v>64</v>
      </c>
      <c r="E25">
        <f>Comsuption!E25*Time!E25</f>
        <v>0</v>
      </c>
      <c r="F25">
        <f>Comsuption!F25*Time!F25</f>
        <v>0</v>
      </c>
      <c r="G25">
        <f>Comsuption!G25*Time!G25</f>
        <v>0</v>
      </c>
      <c r="H25">
        <f>Comsuption!H25*Time!H25</f>
        <v>0</v>
      </c>
      <c r="I25">
        <f>Comsuption!I25*Time!I25</f>
        <v>0</v>
      </c>
      <c r="J25">
        <f>Comsuption!J25*Time!J25</f>
        <v>0</v>
      </c>
      <c r="K25">
        <f>Comsuption!K25*Time!K25</f>
        <v>0</v>
      </c>
      <c r="R25" s="12">
        <f t="shared" si="1"/>
        <v>9.3000000000000007</v>
      </c>
      <c r="S25" s="30"/>
      <c r="V25" s="44">
        <v>256</v>
      </c>
      <c r="W25" s="45" t="s">
        <v>56</v>
      </c>
      <c r="X25" s="46" t="s">
        <v>53</v>
      </c>
      <c r="Y25" s="34">
        <f>R25</f>
        <v>9.3000000000000007</v>
      </c>
      <c r="Z25" s="35">
        <f>R56</f>
        <v>65.7</v>
      </c>
      <c r="AA25" s="36">
        <f>R87</f>
        <v>67</v>
      </c>
      <c r="AC25" s="26">
        <v>256</v>
      </c>
      <c r="AD25" s="27" t="s">
        <v>56</v>
      </c>
      <c r="AE25" s="7" t="s">
        <v>53</v>
      </c>
      <c r="AF25" s="18">
        <v>61.5</v>
      </c>
      <c r="AG25" s="18">
        <v>66.400000000000006</v>
      </c>
      <c r="AH25" s="18">
        <v>62.6</v>
      </c>
    </row>
    <row r="26" spans="1:34" x14ac:dyDescent="0.2">
      <c r="A26" t="s">
        <v>24</v>
      </c>
      <c r="B26">
        <f>Comsuption!B26*Time!B26</f>
        <v>0</v>
      </c>
      <c r="C26">
        <f>Comsuption!C26*Time!C26</f>
        <v>0</v>
      </c>
      <c r="D26">
        <f>Comsuption!D26*Time!D26</f>
        <v>0</v>
      </c>
      <c r="E26">
        <f>Comsuption!E26*Time!E26</f>
        <v>0</v>
      </c>
      <c r="F26">
        <f>Comsuption!F26*Time!F26</f>
        <v>0</v>
      </c>
      <c r="G26">
        <f>Comsuption!G26*Time!G26</f>
        <v>0</v>
      </c>
      <c r="H26">
        <f>Comsuption!H26*Time!H26</f>
        <v>0</v>
      </c>
      <c r="I26">
        <f>Comsuption!I26*Time!I26</f>
        <v>0</v>
      </c>
      <c r="J26">
        <f>Comsuption!J26*Time!J26</f>
        <v>0</v>
      </c>
      <c r="K26">
        <f>Comsuption!K26*Time!K26</f>
        <v>0</v>
      </c>
      <c r="R26" s="10">
        <f t="shared" si="1"/>
        <v>0</v>
      </c>
      <c r="S26" s="28" t="s">
        <v>58</v>
      </c>
      <c r="V26" s="47"/>
      <c r="W26" s="27"/>
      <c r="X26" s="48" t="s">
        <v>83</v>
      </c>
      <c r="Y26" s="37">
        <f>R28</f>
        <v>4.4000000000000004</v>
      </c>
      <c r="Z26" s="33">
        <f>R59</f>
        <v>43.3</v>
      </c>
      <c r="AA26" s="38">
        <f>R90</f>
        <v>68.2</v>
      </c>
      <c r="AC26" s="26"/>
      <c r="AD26" s="27"/>
      <c r="AE26" s="7" t="s">
        <v>83</v>
      </c>
      <c r="AF26" s="18">
        <v>54.2</v>
      </c>
      <c r="AG26" s="18">
        <v>67.3</v>
      </c>
      <c r="AH26" s="18">
        <v>74.3</v>
      </c>
    </row>
    <row r="27" spans="1:34" x14ac:dyDescent="0.2">
      <c r="A27" t="s">
        <v>25</v>
      </c>
      <c r="B27">
        <f>Comsuption!B27*Time!B27</f>
        <v>0</v>
      </c>
      <c r="C27">
        <f>Comsuption!C27*Time!C27</f>
        <v>0</v>
      </c>
      <c r="D27">
        <f>Comsuption!D27*Time!D27</f>
        <v>0</v>
      </c>
      <c r="E27">
        <f>Comsuption!E27*Time!E27</f>
        <v>0</v>
      </c>
      <c r="F27">
        <f>Comsuption!F27*Time!F27</f>
        <v>0</v>
      </c>
      <c r="G27">
        <f>Comsuption!G27*Time!G27</f>
        <v>0</v>
      </c>
      <c r="H27">
        <f>Comsuption!H27*Time!H27</f>
        <v>43</v>
      </c>
      <c r="I27">
        <f>Comsuption!I27*Time!I27</f>
        <v>0</v>
      </c>
      <c r="J27">
        <f>Comsuption!J27*Time!J27</f>
        <v>0</v>
      </c>
      <c r="K27">
        <f>Comsuption!K27*Time!K27</f>
        <v>0</v>
      </c>
      <c r="R27" s="11">
        <f t="shared" si="1"/>
        <v>4.3</v>
      </c>
      <c r="S27" s="29"/>
      <c r="V27" s="47"/>
      <c r="W27" s="27" t="s">
        <v>52</v>
      </c>
      <c r="X27" s="48" t="s">
        <v>53</v>
      </c>
      <c r="Y27" s="39">
        <f>R19</f>
        <v>31.6</v>
      </c>
      <c r="Z27" s="32">
        <f>R50</f>
        <v>29.7</v>
      </c>
      <c r="AA27" s="40">
        <f>R81</f>
        <v>42.7</v>
      </c>
      <c r="AC27" s="26"/>
      <c r="AD27" s="27" t="s">
        <v>52</v>
      </c>
      <c r="AE27" s="7" t="s">
        <v>53</v>
      </c>
      <c r="AF27" s="18">
        <v>66.3</v>
      </c>
      <c r="AG27" s="18">
        <v>74.099999999999994</v>
      </c>
      <c r="AH27" s="18">
        <v>73.5</v>
      </c>
    </row>
    <row r="28" spans="1:34" ht="17" thickBot="1" x14ac:dyDescent="0.25">
      <c r="A28" t="s">
        <v>26</v>
      </c>
      <c r="B28">
        <f>Comsuption!B28*Time!B28</f>
        <v>0</v>
      </c>
      <c r="C28">
        <f>Comsuption!C28*Time!C28</f>
        <v>0</v>
      </c>
      <c r="D28">
        <f>Comsuption!D28*Time!D28</f>
        <v>0</v>
      </c>
      <c r="E28">
        <f>Comsuption!E28*Time!E28</f>
        <v>0</v>
      </c>
      <c r="F28">
        <f>Comsuption!F28*Time!F28</f>
        <v>0</v>
      </c>
      <c r="G28">
        <f>Comsuption!G28*Time!G28</f>
        <v>0</v>
      </c>
      <c r="H28">
        <f>Comsuption!H28*Time!H28</f>
        <v>0</v>
      </c>
      <c r="I28">
        <f>Comsuption!I28*Time!I28</f>
        <v>0</v>
      </c>
      <c r="J28">
        <f>Comsuption!J28*Time!J28</f>
        <v>0</v>
      </c>
      <c r="K28">
        <f>Comsuption!K28*Time!K28</f>
        <v>44</v>
      </c>
      <c r="R28" s="12">
        <f t="shared" si="1"/>
        <v>4.4000000000000004</v>
      </c>
      <c r="S28" s="30"/>
      <c r="V28" s="49"/>
      <c r="W28" s="50"/>
      <c r="X28" s="51" t="s">
        <v>83</v>
      </c>
      <c r="Y28" s="41">
        <f>R22</f>
        <v>37.5</v>
      </c>
      <c r="Z28" s="42">
        <f>R53</f>
        <v>73.099999999999994</v>
      </c>
      <c r="AA28" s="43">
        <f>R84</f>
        <v>29.7</v>
      </c>
      <c r="AC28" s="26"/>
      <c r="AD28" s="27"/>
      <c r="AE28" s="7" t="s">
        <v>83</v>
      </c>
      <c r="AF28" s="18">
        <v>66.599999999999994</v>
      </c>
      <c r="AG28" s="18">
        <v>59.7</v>
      </c>
      <c r="AH28" s="18">
        <v>65.599999999999994</v>
      </c>
    </row>
    <row r="30" spans="1:34" x14ac:dyDescent="0.2">
      <c r="A30" s="3">
        <v>100</v>
      </c>
    </row>
    <row r="32" spans="1:34" x14ac:dyDescent="0.2">
      <c r="A32" s="1" t="s">
        <v>0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/>
      <c r="M32" s="1"/>
      <c r="N32" s="1"/>
      <c r="O32" s="1"/>
      <c r="P32" s="1"/>
      <c r="R32" s="24" t="s">
        <v>51</v>
      </c>
    </row>
    <row r="33" spans="1:19" x14ac:dyDescent="0.2">
      <c r="A33" t="s">
        <v>27</v>
      </c>
      <c r="B33">
        <f>Comsuption!B33*Time!B33</f>
        <v>54</v>
      </c>
      <c r="C33">
        <f>Comsuption!C33*Time!C33</f>
        <v>0</v>
      </c>
      <c r="D33">
        <f>Comsuption!D33*Time!D33</f>
        <v>63</v>
      </c>
      <c r="E33">
        <f>Comsuption!E33*Time!E33</f>
        <v>50</v>
      </c>
      <c r="F33">
        <f>Comsuption!F33*Time!F33</f>
        <v>0</v>
      </c>
      <c r="G33">
        <f>Comsuption!G33*Time!G33</f>
        <v>0</v>
      </c>
      <c r="H33">
        <f>Comsuption!H33*Time!H33</f>
        <v>0</v>
      </c>
      <c r="I33">
        <f>Comsuption!I33*Time!I33</f>
        <v>30</v>
      </c>
      <c r="J33">
        <f>Comsuption!J33*Time!J33</f>
        <v>47</v>
      </c>
      <c r="K33">
        <f>Comsuption!K33*Time!K33</f>
        <v>249</v>
      </c>
      <c r="R33" s="10">
        <f>AVERAGE(B33:Q33)</f>
        <v>49.3</v>
      </c>
      <c r="S33" s="28" t="s">
        <v>54</v>
      </c>
    </row>
    <row r="34" spans="1:19" x14ac:dyDescent="0.2">
      <c r="A34" t="s">
        <v>28</v>
      </c>
      <c r="B34">
        <f>Comsuption!B34*Time!B34</f>
        <v>62</v>
      </c>
      <c r="C34">
        <f>Comsuption!C34*Time!C34</f>
        <v>0</v>
      </c>
      <c r="D34">
        <f>Comsuption!D34*Time!D34</f>
        <v>0</v>
      </c>
      <c r="E34">
        <f>Comsuption!E34*Time!E34</f>
        <v>47</v>
      </c>
      <c r="F34">
        <f>Comsuption!F34*Time!F34</f>
        <v>107</v>
      </c>
      <c r="G34">
        <f>Comsuption!G34*Time!G34</f>
        <v>0</v>
      </c>
      <c r="H34">
        <f>Comsuption!H34*Time!H34</f>
        <v>0</v>
      </c>
      <c r="I34">
        <f>Comsuption!I34*Time!I34</f>
        <v>0</v>
      </c>
      <c r="J34">
        <f>Comsuption!J34*Time!J34</f>
        <v>0</v>
      </c>
      <c r="K34">
        <f>Comsuption!K34*Time!K34</f>
        <v>0</v>
      </c>
      <c r="R34" s="11">
        <f t="shared" ref="R34:R44" si="2">AVERAGE(B34:Q34)</f>
        <v>21.6</v>
      </c>
      <c r="S34" s="29"/>
    </row>
    <row r="35" spans="1:19" x14ac:dyDescent="0.2">
      <c r="A35" t="s">
        <v>29</v>
      </c>
      <c r="B35">
        <f>Comsuption!B35*Time!B35</f>
        <v>0</v>
      </c>
      <c r="C35">
        <f>Comsuption!C35*Time!C35</f>
        <v>0</v>
      </c>
      <c r="D35">
        <f>Comsuption!D35*Time!D35</f>
        <v>0</v>
      </c>
      <c r="E35">
        <f>Comsuption!E35*Time!E35</f>
        <v>0</v>
      </c>
      <c r="F35">
        <f>Comsuption!F35*Time!F35</f>
        <v>54</v>
      </c>
      <c r="G35">
        <f>Comsuption!G35*Time!G35</f>
        <v>23</v>
      </c>
      <c r="H35">
        <f>Comsuption!H35*Time!H35</f>
        <v>0</v>
      </c>
      <c r="I35">
        <f>Comsuption!I35*Time!I35</f>
        <v>0</v>
      </c>
      <c r="J35">
        <f>Comsuption!J35*Time!J35</f>
        <v>0</v>
      </c>
      <c r="K35">
        <f>Comsuption!K35*Time!K35</f>
        <v>0</v>
      </c>
      <c r="R35" s="12">
        <f t="shared" si="2"/>
        <v>7.7</v>
      </c>
      <c r="S35" s="30"/>
    </row>
    <row r="36" spans="1:19" x14ac:dyDescent="0.2">
      <c r="A36" t="s">
        <v>30</v>
      </c>
      <c r="B36">
        <f>Comsuption!B36*Time!B36</f>
        <v>0</v>
      </c>
      <c r="C36">
        <f>Comsuption!C36*Time!C36</f>
        <v>59</v>
      </c>
      <c r="D36">
        <f>Comsuption!D36*Time!D36</f>
        <v>58</v>
      </c>
      <c r="E36">
        <f>Comsuption!E36*Time!E36</f>
        <v>98</v>
      </c>
      <c r="F36">
        <f>Comsuption!F36*Time!F36</f>
        <v>103</v>
      </c>
      <c r="G36">
        <f>Comsuption!G36*Time!G36</f>
        <v>49</v>
      </c>
      <c r="H36">
        <f>Comsuption!H36*Time!H36</f>
        <v>87</v>
      </c>
      <c r="I36">
        <f>Comsuption!I36*Time!I36</f>
        <v>0</v>
      </c>
      <c r="J36">
        <f>Comsuption!J36*Time!J36</f>
        <v>0</v>
      </c>
      <c r="K36">
        <f>Comsuption!K36*Time!K36</f>
        <v>86</v>
      </c>
      <c r="R36" s="10">
        <f t="shared" si="2"/>
        <v>54</v>
      </c>
      <c r="S36" s="28" t="s">
        <v>55</v>
      </c>
    </row>
    <row r="37" spans="1:19" x14ac:dyDescent="0.2">
      <c r="A37" t="s">
        <v>31</v>
      </c>
      <c r="B37">
        <f>Comsuption!B37*Time!B37</f>
        <v>146</v>
      </c>
      <c r="C37">
        <f>Comsuption!C37*Time!C37</f>
        <v>0</v>
      </c>
      <c r="D37">
        <f>Comsuption!D37*Time!D37</f>
        <v>28</v>
      </c>
      <c r="E37">
        <f>Comsuption!E37*Time!E37</f>
        <v>0</v>
      </c>
      <c r="F37">
        <f>Comsuption!F37*Time!F37</f>
        <v>0</v>
      </c>
      <c r="G37">
        <f>Comsuption!G37*Time!G37</f>
        <v>23</v>
      </c>
      <c r="H37">
        <f>Comsuption!H37*Time!H37</f>
        <v>91</v>
      </c>
      <c r="I37">
        <f>Comsuption!I37*Time!I37</f>
        <v>85</v>
      </c>
      <c r="J37">
        <f>Comsuption!J37*Time!J37</f>
        <v>89</v>
      </c>
      <c r="K37">
        <f>Comsuption!K37*Time!K37</f>
        <v>0</v>
      </c>
      <c r="R37" s="11">
        <f t="shared" si="2"/>
        <v>46.2</v>
      </c>
      <c r="S37" s="29"/>
    </row>
    <row r="38" spans="1:19" x14ac:dyDescent="0.2">
      <c r="A38" t="s">
        <v>32</v>
      </c>
      <c r="B38">
        <f>Comsuption!B38*Time!B38</f>
        <v>154</v>
      </c>
      <c r="C38">
        <f>Comsuption!C38*Time!C38</f>
        <v>49</v>
      </c>
      <c r="D38">
        <f>Comsuption!D38*Time!D38</f>
        <v>47</v>
      </c>
      <c r="E38">
        <f>Comsuption!E38*Time!E38</f>
        <v>59</v>
      </c>
      <c r="F38">
        <f>Comsuption!F38*Time!F38</f>
        <v>0</v>
      </c>
      <c r="G38">
        <f>Comsuption!G38*Time!G38</f>
        <v>0</v>
      </c>
      <c r="H38">
        <f>Comsuption!H38*Time!H38</f>
        <v>43</v>
      </c>
      <c r="I38">
        <f>Comsuption!I38*Time!I38</f>
        <v>60</v>
      </c>
      <c r="J38">
        <f>Comsuption!J38*Time!J38</f>
        <v>0</v>
      </c>
      <c r="K38">
        <f>Comsuption!K38*Time!K38</f>
        <v>0</v>
      </c>
      <c r="R38" s="12">
        <f t="shared" si="2"/>
        <v>41.2</v>
      </c>
      <c r="S38" s="30"/>
    </row>
    <row r="39" spans="1:19" x14ac:dyDescent="0.2">
      <c r="A39" t="s">
        <v>33</v>
      </c>
      <c r="B39">
        <f>Comsuption!B39*Time!B39</f>
        <v>0</v>
      </c>
      <c r="C39">
        <f>Comsuption!C39*Time!C39</f>
        <v>0</v>
      </c>
      <c r="D39">
        <f>Comsuption!D39*Time!D39</f>
        <v>0</v>
      </c>
      <c r="E39">
        <f>Comsuption!E39*Time!E39</f>
        <v>0</v>
      </c>
      <c r="F39">
        <f>Comsuption!F39*Time!F39</f>
        <v>86</v>
      </c>
      <c r="G39">
        <f>Comsuption!G39*Time!G39</f>
        <v>0</v>
      </c>
      <c r="H39">
        <f>Comsuption!H39*Time!H39</f>
        <v>0</v>
      </c>
      <c r="I39">
        <f>Comsuption!I39*Time!I39</f>
        <v>0</v>
      </c>
      <c r="J39">
        <f>Comsuption!J39*Time!J39</f>
        <v>0</v>
      </c>
      <c r="K39">
        <f>Comsuption!K39*Time!K39</f>
        <v>0</v>
      </c>
      <c r="R39" s="10">
        <f t="shared" si="2"/>
        <v>8.6</v>
      </c>
      <c r="S39" s="28" t="s">
        <v>57</v>
      </c>
    </row>
    <row r="40" spans="1:19" x14ac:dyDescent="0.2">
      <c r="A40" t="s">
        <v>34</v>
      </c>
      <c r="B40">
        <f>Comsuption!B40*Time!B40</f>
        <v>98</v>
      </c>
      <c r="C40">
        <f>Comsuption!C40*Time!C40</f>
        <v>0</v>
      </c>
      <c r="D40">
        <f>Comsuption!D40*Time!D40</f>
        <v>0</v>
      </c>
      <c r="E40">
        <f>Comsuption!E40*Time!E40</f>
        <v>0</v>
      </c>
      <c r="F40">
        <f>Comsuption!F40*Time!F40</f>
        <v>0</v>
      </c>
      <c r="G40">
        <f>Comsuption!G40*Time!G40</f>
        <v>224</v>
      </c>
      <c r="H40">
        <f>Comsuption!H40*Time!H40</f>
        <v>38</v>
      </c>
      <c r="I40">
        <f>Comsuption!I40*Time!I40</f>
        <v>0</v>
      </c>
      <c r="J40">
        <f>Comsuption!J40*Time!J40</f>
        <v>0</v>
      </c>
      <c r="K40">
        <f>Comsuption!K40*Time!K40</f>
        <v>0</v>
      </c>
      <c r="R40" s="11">
        <f t="shared" si="2"/>
        <v>36</v>
      </c>
      <c r="S40" s="29"/>
    </row>
    <row r="41" spans="1:19" x14ac:dyDescent="0.2">
      <c r="A41" t="s">
        <v>35</v>
      </c>
      <c r="B41">
        <f>Comsuption!B41*Time!B41</f>
        <v>304</v>
      </c>
      <c r="C41">
        <f>Comsuption!C41*Time!C41</f>
        <v>0</v>
      </c>
      <c r="D41">
        <f>Comsuption!D41*Time!D41</f>
        <v>0</v>
      </c>
      <c r="E41">
        <f>Comsuption!E41*Time!E41</f>
        <v>0</v>
      </c>
      <c r="F41">
        <f>Comsuption!F41*Time!F41</f>
        <v>0</v>
      </c>
      <c r="G41">
        <f>Comsuption!G41*Time!G41</f>
        <v>62</v>
      </c>
      <c r="H41">
        <f>Comsuption!H41*Time!H41</f>
        <v>85</v>
      </c>
      <c r="I41">
        <f>Comsuption!I41*Time!I41</f>
        <v>77</v>
      </c>
      <c r="J41">
        <f>Comsuption!J41*Time!J41</f>
        <v>0</v>
      </c>
      <c r="K41">
        <f>Comsuption!K41*Time!K41</f>
        <v>0</v>
      </c>
      <c r="R41" s="12">
        <f t="shared" si="2"/>
        <v>52.8</v>
      </c>
      <c r="S41" s="30"/>
    </row>
    <row r="42" spans="1:19" x14ac:dyDescent="0.2">
      <c r="A42" t="s">
        <v>36</v>
      </c>
      <c r="B42">
        <f>Comsuption!B42*Time!B42</f>
        <v>210</v>
      </c>
      <c r="C42">
        <f>Comsuption!C42*Time!C42</f>
        <v>55</v>
      </c>
      <c r="D42">
        <f>Comsuption!D42*Time!D42</f>
        <v>45</v>
      </c>
      <c r="E42">
        <f>Comsuption!E42*Time!E42</f>
        <v>0</v>
      </c>
      <c r="F42">
        <f>Comsuption!F42*Time!F42</f>
        <v>78</v>
      </c>
      <c r="G42">
        <f>Comsuption!G42*Time!G42</f>
        <v>68</v>
      </c>
      <c r="H42">
        <f>Comsuption!H42*Time!H42</f>
        <v>0</v>
      </c>
      <c r="I42">
        <f>Comsuption!I42*Time!I42</f>
        <v>0</v>
      </c>
      <c r="J42">
        <f>Comsuption!J42*Time!J42</f>
        <v>0</v>
      </c>
      <c r="K42">
        <f>Comsuption!K42*Time!K42</f>
        <v>0</v>
      </c>
      <c r="R42" s="10">
        <f t="shared" si="2"/>
        <v>45.6</v>
      </c>
      <c r="S42" s="28" t="s">
        <v>58</v>
      </c>
    </row>
    <row r="43" spans="1:19" x14ac:dyDescent="0.2">
      <c r="A43" t="s">
        <v>37</v>
      </c>
      <c r="B43">
        <f>Comsuption!B43*Time!B43</f>
        <v>202</v>
      </c>
      <c r="C43">
        <f>Comsuption!C43*Time!C43</f>
        <v>0</v>
      </c>
      <c r="D43">
        <f>Comsuption!D43*Time!D43</f>
        <v>0</v>
      </c>
      <c r="E43">
        <f>Comsuption!E43*Time!E43</f>
        <v>0</v>
      </c>
      <c r="F43">
        <f>Comsuption!F43*Time!F43</f>
        <v>0</v>
      </c>
      <c r="G43">
        <f>Comsuption!G43*Time!G43</f>
        <v>162</v>
      </c>
      <c r="H43">
        <f>Comsuption!H43*Time!H43</f>
        <v>0</v>
      </c>
      <c r="I43">
        <f>Comsuption!I43*Time!I43</f>
        <v>59</v>
      </c>
      <c r="J43">
        <f>Comsuption!J43*Time!J43</f>
        <v>61</v>
      </c>
      <c r="K43">
        <f>Comsuption!K43*Time!K43</f>
        <v>0</v>
      </c>
      <c r="R43" s="11">
        <f t="shared" si="2"/>
        <v>48.4</v>
      </c>
      <c r="S43" s="29"/>
    </row>
    <row r="44" spans="1:19" x14ac:dyDescent="0.2">
      <c r="A44" t="s">
        <v>38</v>
      </c>
      <c r="B44">
        <f>Comsuption!B44*Time!B44</f>
        <v>114</v>
      </c>
      <c r="C44">
        <f>Comsuption!C44*Time!C44</f>
        <v>0</v>
      </c>
      <c r="D44">
        <f>Comsuption!D44*Time!D44</f>
        <v>0</v>
      </c>
      <c r="E44">
        <f>Comsuption!E44*Time!E44</f>
        <v>45</v>
      </c>
      <c r="F44">
        <f>Comsuption!F44*Time!F44</f>
        <v>0</v>
      </c>
      <c r="G44">
        <f>Comsuption!G44*Time!G44</f>
        <v>184</v>
      </c>
      <c r="H44">
        <f>Comsuption!H44*Time!H44</f>
        <v>0</v>
      </c>
      <c r="I44">
        <f>Comsuption!I44*Time!I44</f>
        <v>0</v>
      </c>
      <c r="J44">
        <f>Comsuption!J44*Time!J44</f>
        <v>0</v>
      </c>
      <c r="K44">
        <f>Comsuption!K44*Time!K44</f>
        <v>76</v>
      </c>
      <c r="R44" s="12">
        <f t="shared" si="2"/>
        <v>41.9</v>
      </c>
      <c r="S44" s="30"/>
    </row>
    <row r="47" spans="1:19" x14ac:dyDescent="0.2">
      <c r="A47" s="1" t="s">
        <v>0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/>
      <c r="M47" s="1"/>
      <c r="N47" s="1"/>
      <c r="O47" s="1"/>
      <c r="P47" s="1"/>
      <c r="R47" s="24" t="s">
        <v>51</v>
      </c>
    </row>
    <row r="48" spans="1:19" x14ac:dyDescent="0.2">
      <c r="A48" t="s">
        <v>39</v>
      </c>
      <c r="B48">
        <f>Comsuption!B48*Time!B48</f>
        <v>0</v>
      </c>
      <c r="C48">
        <f>Comsuption!C48*Time!C48</f>
        <v>30</v>
      </c>
      <c r="D48">
        <f>Comsuption!D48*Time!D48</f>
        <v>46</v>
      </c>
      <c r="E48">
        <f>Comsuption!E48*Time!E48</f>
        <v>0</v>
      </c>
      <c r="F48">
        <f>Comsuption!F48*Time!F48</f>
        <v>0</v>
      </c>
      <c r="G48">
        <f>Comsuption!G48*Time!G48</f>
        <v>0</v>
      </c>
      <c r="H48">
        <f>Comsuption!H48*Time!H48</f>
        <v>0</v>
      </c>
      <c r="I48">
        <f>Comsuption!I48*Time!I48</f>
        <v>0</v>
      </c>
      <c r="J48">
        <f>Comsuption!J48*Time!J48</f>
        <v>0</v>
      </c>
      <c r="K48">
        <f>Comsuption!K48*Time!K48</f>
        <v>0</v>
      </c>
      <c r="R48" s="10">
        <f>AVERAGE(B48:Q48)</f>
        <v>7.6</v>
      </c>
      <c r="S48" s="28" t="s">
        <v>54</v>
      </c>
    </row>
    <row r="49" spans="1:19" x14ac:dyDescent="0.2">
      <c r="A49" t="s">
        <v>40</v>
      </c>
      <c r="B49">
        <f>Comsuption!B49*Time!B49</f>
        <v>0</v>
      </c>
      <c r="C49">
        <f>Comsuption!C49*Time!C49</f>
        <v>0</v>
      </c>
      <c r="D49">
        <f>Comsuption!D49*Time!D49</f>
        <v>0</v>
      </c>
      <c r="E49">
        <f>Comsuption!E49*Time!E49</f>
        <v>0</v>
      </c>
      <c r="F49">
        <f>Comsuption!F49*Time!F49</f>
        <v>0</v>
      </c>
      <c r="G49">
        <f>Comsuption!G49*Time!G49</f>
        <v>126</v>
      </c>
      <c r="H49">
        <f>Comsuption!H49*Time!H49</f>
        <v>0</v>
      </c>
      <c r="I49">
        <f>Comsuption!I49*Time!I49</f>
        <v>488</v>
      </c>
      <c r="J49">
        <f>Comsuption!J49*Time!J49</f>
        <v>0</v>
      </c>
      <c r="K49">
        <f>Comsuption!K49*Time!K49</f>
        <v>49</v>
      </c>
      <c r="R49" s="11">
        <f t="shared" ref="R49:R59" si="3">AVERAGE(B49:Q49)</f>
        <v>66.3</v>
      </c>
      <c r="S49" s="29"/>
    </row>
    <row r="50" spans="1:19" x14ac:dyDescent="0.2">
      <c r="A50" t="s">
        <v>41</v>
      </c>
      <c r="B50">
        <f>Comsuption!B50*Time!B50</f>
        <v>142</v>
      </c>
      <c r="C50">
        <f>Comsuption!C50*Time!C50</f>
        <v>59</v>
      </c>
      <c r="D50">
        <f>Comsuption!D50*Time!D50</f>
        <v>0</v>
      </c>
      <c r="E50">
        <f>Comsuption!E50*Time!E50</f>
        <v>0</v>
      </c>
      <c r="F50">
        <f>Comsuption!F50*Time!F50</f>
        <v>0</v>
      </c>
      <c r="G50">
        <f>Comsuption!G50*Time!G50</f>
        <v>96</v>
      </c>
      <c r="H50">
        <f>Comsuption!H50*Time!H50</f>
        <v>0</v>
      </c>
      <c r="I50">
        <f>Comsuption!I50*Time!I50</f>
        <v>0</v>
      </c>
      <c r="J50">
        <f>Comsuption!J50*Time!J50</f>
        <v>0</v>
      </c>
      <c r="K50">
        <f>Comsuption!K50*Time!K50</f>
        <v>0</v>
      </c>
      <c r="R50" s="12">
        <f t="shared" si="3"/>
        <v>29.7</v>
      </c>
      <c r="S50" s="29"/>
    </row>
    <row r="51" spans="1:19" x14ac:dyDescent="0.2">
      <c r="A51" t="s">
        <v>42</v>
      </c>
      <c r="B51">
        <f>Comsuption!B51*Time!B51</f>
        <v>134</v>
      </c>
      <c r="C51">
        <f>Comsuption!C51*Time!C51</f>
        <v>0</v>
      </c>
      <c r="D51">
        <f>Comsuption!D51*Time!D51</f>
        <v>0</v>
      </c>
      <c r="E51">
        <f>Comsuption!E51*Time!E51</f>
        <v>0</v>
      </c>
      <c r="F51">
        <f>Comsuption!F51*Time!F51</f>
        <v>0</v>
      </c>
      <c r="G51">
        <f>Comsuption!G51*Time!G51</f>
        <v>69</v>
      </c>
      <c r="H51">
        <f>Comsuption!H51*Time!H51</f>
        <v>0</v>
      </c>
      <c r="I51">
        <f>Comsuption!I51*Time!I51</f>
        <v>0</v>
      </c>
      <c r="J51">
        <f>Comsuption!J51*Time!J51</f>
        <v>55</v>
      </c>
      <c r="K51">
        <f>Comsuption!K51*Time!K51</f>
        <v>0</v>
      </c>
      <c r="R51" s="10">
        <f t="shared" si="3"/>
        <v>25.8</v>
      </c>
      <c r="S51" s="28" t="s">
        <v>55</v>
      </c>
    </row>
    <row r="52" spans="1:19" x14ac:dyDescent="0.2">
      <c r="A52" t="s">
        <v>43</v>
      </c>
      <c r="B52">
        <f>Comsuption!B52*Time!B52</f>
        <v>208</v>
      </c>
      <c r="C52">
        <f>Comsuption!C52*Time!C52</f>
        <v>0</v>
      </c>
      <c r="D52">
        <f>Comsuption!D52*Time!D52</f>
        <v>0</v>
      </c>
      <c r="E52">
        <f>Comsuption!E52*Time!E52</f>
        <v>67</v>
      </c>
      <c r="F52">
        <f>Comsuption!F52*Time!F52</f>
        <v>0</v>
      </c>
      <c r="G52">
        <f>Comsuption!G52*Time!G52</f>
        <v>96</v>
      </c>
      <c r="H52">
        <f>Comsuption!H52*Time!H52</f>
        <v>0</v>
      </c>
      <c r="I52">
        <f>Comsuption!I52*Time!I52</f>
        <v>0</v>
      </c>
      <c r="J52">
        <f>Comsuption!J52*Time!J52</f>
        <v>0</v>
      </c>
      <c r="K52">
        <f>Comsuption!K52*Time!K52</f>
        <v>89</v>
      </c>
      <c r="R52" s="11">
        <f t="shared" si="3"/>
        <v>46</v>
      </c>
      <c r="S52" s="29"/>
    </row>
    <row r="53" spans="1:19" x14ac:dyDescent="0.2">
      <c r="A53" t="s">
        <v>44</v>
      </c>
      <c r="B53">
        <f>Comsuption!B53*Time!B53</f>
        <v>270</v>
      </c>
      <c r="C53">
        <f>Comsuption!C53*Time!C53</f>
        <v>39</v>
      </c>
      <c r="D53">
        <f>Comsuption!D53*Time!D53</f>
        <v>64</v>
      </c>
      <c r="E53">
        <f>Comsuption!E53*Time!E53</f>
        <v>49</v>
      </c>
      <c r="F53">
        <f>Comsuption!F53*Time!F53</f>
        <v>0</v>
      </c>
      <c r="G53">
        <f>Comsuption!G53*Time!G53</f>
        <v>124</v>
      </c>
      <c r="H53">
        <f>Comsuption!H53*Time!H53</f>
        <v>64</v>
      </c>
      <c r="I53">
        <f>Comsuption!I53*Time!I53</f>
        <v>58</v>
      </c>
      <c r="J53">
        <f>Comsuption!J53*Time!J53</f>
        <v>63</v>
      </c>
      <c r="K53">
        <f>Comsuption!K53*Time!K53</f>
        <v>0</v>
      </c>
      <c r="R53" s="12">
        <f t="shared" si="3"/>
        <v>73.099999999999994</v>
      </c>
      <c r="S53" s="30"/>
    </row>
    <row r="54" spans="1:19" x14ac:dyDescent="0.2">
      <c r="A54" t="s">
        <v>45</v>
      </c>
      <c r="B54">
        <f>Comsuption!B54*Time!B54</f>
        <v>0</v>
      </c>
      <c r="C54">
        <f>Comsuption!C54*Time!C54</f>
        <v>48</v>
      </c>
      <c r="D54">
        <f>Comsuption!D54*Time!D54</f>
        <v>136</v>
      </c>
      <c r="E54">
        <f>Comsuption!E54*Time!E54</f>
        <v>0</v>
      </c>
      <c r="F54">
        <f>Comsuption!F54*Time!F54</f>
        <v>28</v>
      </c>
      <c r="G54">
        <f>Comsuption!G54*Time!G54</f>
        <v>114</v>
      </c>
      <c r="H54">
        <f>Comsuption!H54*Time!H54</f>
        <v>0</v>
      </c>
      <c r="I54">
        <f>Comsuption!I54*Time!I54</f>
        <v>0</v>
      </c>
      <c r="J54">
        <f>Comsuption!J54*Time!J54</f>
        <v>0</v>
      </c>
      <c r="K54">
        <f>Comsuption!K54*Time!K54</f>
        <v>0</v>
      </c>
      <c r="R54" s="10">
        <f t="shared" si="3"/>
        <v>32.6</v>
      </c>
      <c r="S54" s="28" t="s">
        <v>57</v>
      </c>
    </row>
    <row r="55" spans="1:19" x14ac:dyDescent="0.2">
      <c r="A55" t="s">
        <v>46</v>
      </c>
      <c r="B55">
        <f>Comsuption!B55*Time!B55</f>
        <v>154</v>
      </c>
      <c r="C55">
        <f>Comsuption!C55*Time!C55</f>
        <v>0</v>
      </c>
      <c r="D55">
        <f>Comsuption!D55*Time!D55</f>
        <v>154</v>
      </c>
      <c r="E55">
        <f>Comsuption!E55*Time!E55</f>
        <v>0</v>
      </c>
      <c r="F55">
        <f>Comsuption!F55*Time!F55</f>
        <v>0</v>
      </c>
      <c r="G55">
        <f>Comsuption!G55*Time!G55</f>
        <v>144</v>
      </c>
      <c r="H55">
        <f>Comsuption!H55*Time!H55</f>
        <v>65</v>
      </c>
      <c r="I55">
        <f>Comsuption!I55*Time!I55</f>
        <v>0</v>
      </c>
      <c r="J55">
        <f>Comsuption!J55*Time!J55</f>
        <v>0</v>
      </c>
      <c r="K55">
        <f>Comsuption!K55*Time!K55</f>
        <v>82</v>
      </c>
      <c r="R55" s="11">
        <f t="shared" si="3"/>
        <v>59.9</v>
      </c>
      <c r="S55" s="29"/>
    </row>
    <row r="56" spans="1:19" x14ac:dyDescent="0.2">
      <c r="A56" t="s">
        <v>47</v>
      </c>
      <c r="B56">
        <f>Comsuption!B56*Time!B56</f>
        <v>140</v>
      </c>
      <c r="C56">
        <f>Comsuption!C56*Time!C56</f>
        <v>0</v>
      </c>
      <c r="D56">
        <f>Comsuption!D56*Time!D56</f>
        <v>164</v>
      </c>
      <c r="E56">
        <f>Comsuption!E56*Time!E56</f>
        <v>64</v>
      </c>
      <c r="F56">
        <f>Comsuption!F56*Time!F56</f>
        <v>65</v>
      </c>
      <c r="G56">
        <f>Comsuption!G56*Time!G56</f>
        <v>94</v>
      </c>
      <c r="H56">
        <f>Comsuption!H56*Time!H56</f>
        <v>0</v>
      </c>
      <c r="I56">
        <f>Comsuption!I56*Time!I56</f>
        <v>50</v>
      </c>
      <c r="J56">
        <f>Comsuption!J56*Time!J56</f>
        <v>80</v>
      </c>
      <c r="K56">
        <f>Comsuption!K56*Time!K56</f>
        <v>0</v>
      </c>
      <c r="R56" s="12">
        <f t="shared" si="3"/>
        <v>65.7</v>
      </c>
      <c r="S56" s="30"/>
    </row>
    <row r="57" spans="1:19" x14ac:dyDescent="0.2">
      <c r="A57" t="s">
        <v>48</v>
      </c>
      <c r="B57">
        <f>Comsuption!B57*Time!B57</f>
        <v>154</v>
      </c>
      <c r="C57">
        <f>Comsuption!C57*Time!C57</f>
        <v>0</v>
      </c>
      <c r="D57">
        <f>Comsuption!D57*Time!D57</f>
        <v>90</v>
      </c>
      <c r="E57">
        <f>Comsuption!E57*Time!E57</f>
        <v>0</v>
      </c>
      <c r="F57">
        <f>Comsuption!F57*Time!F57</f>
        <v>0</v>
      </c>
      <c r="G57">
        <f>Comsuption!G57*Time!G57</f>
        <v>0</v>
      </c>
      <c r="H57">
        <f>Comsuption!H57*Time!H57</f>
        <v>58</v>
      </c>
      <c r="I57">
        <f>Comsuption!I57*Time!I57</f>
        <v>0</v>
      </c>
      <c r="J57">
        <f>Comsuption!J57*Time!J57</f>
        <v>0</v>
      </c>
      <c r="K57">
        <f>Comsuption!K57*Time!K57</f>
        <v>0</v>
      </c>
      <c r="R57" s="10">
        <f t="shared" si="3"/>
        <v>30.2</v>
      </c>
      <c r="S57" s="29" t="s">
        <v>58</v>
      </c>
    </row>
    <row r="58" spans="1:19" x14ac:dyDescent="0.2">
      <c r="A58" t="s">
        <v>49</v>
      </c>
      <c r="B58">
        <f>Comsuption!B58*Time!B58</f>
        <v>0</v>
      </c>
      <c r="C58">
        <f>Comsuption!C58*Time!C58</f>
        <v>0</v>
      </c>
      <c r="D58">
        <f>Comsuption!D58*Time!D58</f>
        <v>150</v>
      </c>
      <c r="E58">
        <f>Comsuption!E58*Time!E58</f>
        <v>0</v>
      </c>
      <c r="F58">
        <f>Comsuption!F58*Time!F58</f>
        <v>0</v>
      </c>
      <c r="G58">
        <f>Comsuption!G58*Time!G58</f>
        <v>0</v>
      </c>
      <c r="H58">
        <f>Comsuption!H58*Time!H58</f>
        <v>0</v>
      </c>
      <c r="I58">
        <f>Comsuption!I58*Time!I58</f>
        <v>23</v>
      </c>
      <c r="J58">
        <f>Comsuption!J58*Time!J58</f>
        <v>0</v>
      </c>
      <c r="K58">
        <f>Comsuption!K58*Time!K58</f>
        <v>0</v>
      </c>
      <c r="R58" s="11">
        <f t="shared" si="3"/>
        <v>17.3</v>
      </c>
      <c r="S58" s="29"/>
    </row>
    <row r="59" spans="1:19" x14ac:dyDescent="0.2">
      <c r="A59" t="s">
        <v>50</v>
      </c>
      <c r="B59">
        <f>Comsuption!B59*Time!B59</f>
        <v>50</v>
      </c>
      <c r="C59">
        <f>Comsuption!C59*Time!C59</f>
        <v>74</v>
      </c>
      <c r="D59">
        <f>Comsuption!D59*Time!D59</f>
        <v>170</v>
      </c>
      <c r="E59">
        <f>Comsuption!E59*Time!E59</f>
        <v>0</v>
      </c>
      <c r="F59">
        <f>Comsuption!F59*Time!F59</f>
        <v>75</v>
      </c>
      <c r="G59">
        <f>Comsuption!G59*Time!G59</f>
        <v>0</v>
      </c>
      <c r="H59">
        <f>Comsuption!H59*Time!H59</f>
        <v>64</v>
      </c>
      <c r="I59">
        <f>Comsuption!I59*Time!I59</f>
        <v>0</v>
      </c>
      <c r="J59">
        <f>Comsuption!J59*Time!J59</f>
        <v>0</v>
      </c>
      <c r="K59">
        <f>Comsuption!K59*Time!K59</f>
        <v>0</v>
      </c>
      <c r="R59" s="12">
        <f t="shared" si="3"/>
        <v>43.3</v>
      </c>
      <c r="S59" s="30"/>
    </row>
    <row r="61" spans="1:19" x14ac:dyDescent="0.2">
      <c r="A61" s="2">
        <v>200</v>
      </c>
    </row>
    <row r="63" spans="1:19" x14ac:dyDescent="0.2">
      <c r="A63" t="s">
        <v>0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/>
      <c r="M63" s="1"/>
      <c r="N63" s="1"/>
      <c r="O63" s="1"/>
      <c r="P63" s="1"/>
      <c r="R63" s="24" t="s">
        <v>51</v>
      </c>
    </row>
    <row r="64" spans="1:19" x14ac:dyDescent="0.2">
      <c r="A64" t="s">
        <v>59</v>
      </c>
      <c r="B64">
        <f>Comsuption!B64*Time!B64</f>
        <v>29</v>
      </c>
      <c r="C64">
        <f>Comsuption!C64*Time!C64</f>
        <v>76</v>
      </c>
      <c r="D64">
        <f>Comsuption!D64*Time!D64</f>
        <v>0</v>
      </c>
      <c r="E64">
        <f>Comsuption!E64*Time!E64</f>
        <v>62</v>
      </c>
      <c r="F64">
        <f>Comsuption!F64*Time!F64</f>
        <v>144</v>
      </c>
      <c r="G64">
        <f>Comsuption!G64*Time!G64</f>
        <v>19</v>
      </c>
      <c r="H64">
        <f>Comsuption!H64*Time!H64</f>
        <v>0</v>
      </c>
      <c r="I64">
        <f>Comsuption!I64*Time!I64</f>
        <v>53</v>
      </c>
      <c r="J64">
        <f>Comsuption!J64*Time!J64</f>
        <v>0</v>
      </c>
      <c r="K64">
        <f>Comsuption!K64*Time!K64</f>
        <v>0</v>
      </c>
      <c r="R64" s="10">
        <f>AVERAGE(B64:Q64)</f>
        <v>38.299999999999997</v>
      </c>
      <c r="S64" s="28" t="s">
        <v>54</v>
      </c>
    </row>
    <row r="65" spans="1:19" x14ac:dyDescent="0.2">
      <c r="A65" t="s">
        <v>60</v>
      </c>
      <c r="B65">
        <f>Comsuption!B65*Time!B65</f>
        <v>107</v>
      </c>
      <c r="C65">
        <f>Comsuption!C65*Time!C65</f>
        <v>0</v>
      </c>
      <c r="D65">
        <f>Comsuption!D65*Time!D65</f>
        <v>0</v>
      </c>
      <c r="E65">
        <f>Comsuption!E65*Time!E65</f>
        <v>0</v>
      </c>
      <c r="F65">
        <f>Comsuption!F65*Time!F65</f>
        <v>388</v>
      </c>
      <c r="G65">
        <f>Comsuption!G65*Time!G65</f>
        <v>0</v>
      </c>
      <c r="H65">
        <f>Comsuption!H65*Time!H65</f>
        <v>44</v>
      </c>
      <c r="I65">
        <f>Comsuption!I65*Time!I65</f>
        <v>0</v>
      </c>
      <c r="J65">
        <f>Comsuption!J65*Time!J65</f>
        <v>0</v>
      </c>
      <c r="K65">
        <f>Comsuption!K65*Time!K65</f>
        <v>0</v>
      </c>
      <c r="R65" s="11">
        <f t="shared" ref="R65:R75" si="4">AVERAGE(B65:Q65)</f>
        <v>53.9</v>
      </c>
      <c r="S65" s="29"/>
    </row>
    <row r="66" spans="1:19" x14ac:dyDescent="0.2">
      <c r="A66" t="s">
        <v>61</v>
      </c>
      <c r="B66">
        <f>Comsuption!B66*Time!B66</f>
        <v>0</v>
      </c>
      <c r="C66">
        <f>Comsuption!C66*Time!C66</f>
        <v>0</v>
      </c>
      <c r="D66">
        <f>Comsuption!D66*Time!D66</f>
        <v>63</v>
      </c>
      <c r="E66">
        <f>Comsuption!E66*Time!E66</f>
        <v>77</v>
      </c>
      <c r="F66">
        <f>Comsuption!F66*Time!F66</f>
        <v>183</v>
      </c>
      <c r="G66">
        <f>Comsuption!G66*Time!G66</f>
        <v>0</v>
      </c>
      <c r="H66">
        <f>Comsuption!H66*Time!H66</f>
        <v>0</v>
      </c>
      <c r="I66">
        <f>Comsuption!I66*Time!I66</f>
        <v>0</v>
      </c>
      <c r="J66">
        <f>Comsuption!J66*Time!J66</f>
        <v>0</v>
      </c>
      <c r="K66">
        <f>Comsuption!K66*Time!K66</f>
        <v>71</v>
      </c>
      <c r="R66" s="12">
        <f t="shared" si="4"/>
        <v>39.4</v>
      </c>
      <c r="S66" s="30"/>
    </row>
    <row r="67" spans="1:19" x14ac:dyDescent="0.2">
      <c r="A67" t="s">
        <v>62</v>
      </c>
      <c r="B67">
        <f>Comsuption!B67*Time!B67</f>
        <v>69</v>
      </c>
      <c r="C67">
        <f>Comsuption!C67*Time!C67</f>
        <v>0</v>
      </c>
      <c r="D67">
        <f>Comsuption!D67*Time!D67</f>
        <v>0</v>
      </c>
      <c r="E67">
        <f>Comsuption!E67*Time!E67</f>
        <v>0</v>
      </c>
      <c r="F67">
        <f>Comsuption!F67*Time!F67</f>
        <v>174</v>
      </c>
      <c r="G67">
        <f>Comsuption!G67*Time!G67</f>
        <v>0</v>
      </c>
      <c r="H67">
        <f>Comsuption!H67*Time!H67</f>
        <v>0</v>
      </c>
      <c r="I67">
        <f>Comsuption!I67*Time!I67</f>
        <v>0</v>
      </c>
      <c r="J67">
        <f>Comsuption!J67*Time!J67</f>
        <v>80</v>
      </c>
      <c r="K67">
        <f>Comsuption!K67*Time!K67</f>
        <v>0</v>
      </c>
      <c r="R67" s="10">
        <f t="shared" si="4"/>
        <v>32.299999999999997</v>
      </c>
      <c r="S67" s="28" t="s">
        <v>55</v>
      </c>
    </row>
    <row r="68" spans="1:19" x14ac:dyDescent="0.2">
      <c r="A68" t="s">
        <v>63</v>
      </c>
      <c r="B68">
        <f>Comsuption!B68*Time!B68</f>
        <v>0</v>
      </c>
      <c r="C68">
        <f>Comsuption!C68*Time!C68</f>
        <v>72</v>
      </c>
      <c r="D68">
        <f>Comsuption!D68*Time!D68</f>
        <v>73</v>
      </c>
      <c r="E68">
        <f>Comsuption!E68*Time!E68</f>
        <v>62</v>
      </c>
      <c r="F68">
        <f>Comsuption!F68*Time!F68</f>
        <v>144</v>
      </c>
      <c r="G68">
        <f>Comsuption!G68*Time!G68</f>
        <v>0</v>
      </c>
      <c r="H68">
        <f>Comsuption!H68*Time!H68</f>
        <v>90</v>
      </c>
      <c r="I68">
        <f>Comsuption!I68*Time!I68</f>
        <v>0</v>
      </c>
      <c r="J68">
        <f>Comsuption!J68*Time!J68</f>
        <v>0</v>
      </c>
      <c r="K68">
        <f>Comsuption!K68*Time!K68</f>
        <v>0</v>
      </c>
      <c r="R68" s="11">
        <f t="shared" si="4"/>
        <v>44.1</v>
      </c>
      <c r="S68" s="29"/>
    </row>
    <row r="69" spans="1:19" x14ac:dyDescent="0.2">
      <c r="A69" t="s">
        <v>64</v>
      </c>
      <c r="B69">
        <f>Comsuption!B69*Time!B69</f>
        <v>0</v>
      </c>
      <c r="C69">
        <f>Comsuption!C69*Time!C69</f>
        <v>0</v>
      </c>
      <c r="D69">
        <f>Comsuption!D69*Time!D69</f>
        <v>0</v>
      </c>
      <c r="E69">
        <f>Comsuption!E69*Time!E69</f>
        <v>0</v>
      </c>
      <c r="F69">
        <f>Comsuption!F69*Time!F69</f>
        <v>160</v>
      </c>
      <c r="G69">
        <f>Comsuption!G69*Time!G69</f>
        <v>0</v>
      </c>
      <c r="H69">
        <f>Comsuption!H69*Time!H69</f>
        <v>0</v>
      </c>
      <c r="I69">
        <f>Comsuption!I69*Time!I69</f>
        <v>70</v>
      </c>
      <c r="J69">
        <f>Comsuption!J69*Time!J69</f>
        <v>0</v>
      </c>
      <c r="K69">
        <f>Comsuption!K69*Time!K69</f>
        <v>71</v>
      </c>
      <c r="R69" s="12">
        <f t="shared" si="4"/>
        <v>30.1</v>
      </c>
      <c r="S69" s="30"/>
    </row>
    <row r="70" spans="1:19" x14ac:dyDescent="0.2">
      <c r="A70" t="s">
        <v>65</v>
      </c>
      <c r="B70">
        <f>Comsuption!B70*Time!B70</f>
        <v>0</v>
      </c>
      <c r="C70">
        <f>Comsuption!C70*Time!C70</f>
        <v>87</v>
      </c>
      <c r="D70">
        <f>Comsuption!D70*Time!D70</f>
        <v>106</v>
      </c>
      <c r="E70">
        <f>Comsuption!E70*Time!E70</f>
        <v>82</v>
      </c>
      <c r="F70">
        <f>Comsuption!F70*Time!F70</f>
        <v>72</v>
      </c>
      <c r="G70">
        <f>Comsuption!G70*Time!G70</f>
        <v>0</v>
      </c>
      <c r="H70">
        <f>Comsuption!H70*Time!H70</f>
        <v>80</v>
      </c>
      <c r="I70">
        <f>Comsuption!I70*Time!I70</f>
        <v>0</v>
      </c>
      <c r="J70">
        <f>Comsuption!J70*Time!J70</f>
        <v>0</v>
      </c>
      <c r="K70">
        <f>Comsuption!K70*Time!K70</f>
        <v>0</v>
      </c>
      <c r="R70" s="10">
        <f t="shared" si="4"/>
        <v>42.7</v>
      </c>
      <c r="S70" s="28" t="s">
        <v>57</v>
      </c>
    </row>
    <row r="71" spans="1:19" x14ac:dyDescent="0.2">
      <c r="A71" t="s">
        <v>66</v>
      </c>
      <c r="B71">
        <f>Comsuption!B71*Time!B71</f>
        <v>46</v>
      </c>
      <c r="C71">
        <f>Comsuption!C71*Time!C71</f>
        <v>0</v>
      </c>
      <c r="D71">
        <f>Comsuption!D71*Time!D71</f>
        <v>0</v>
      </c>
      <c r="E71">
        <f>Comsuption!E71*Time!E71</f>
        <v>0</v>
      </c>
      <c r="F71">
        <f>Comsuption!F71*Time!F71</f>
        <v>0</v>
      </c>
      <c r="G71">
        <f>Comsuption!G71*Time!G71</f>
        <v>0</v>
      </c>
      <c r="H71">
        <f>Comsuption!H71*Time!H71</f>
        <v>90</v>
      </c>
      <c r="I71">
        <f>Comsuption!I71*Time!I71</f>
        <v>0</v>
      </c>
      <c r="J71">
        <f>Comsuption!J71*Time!J71</f>
        <v>62</v>
      </c>
      <c r="K71">
        <f>Comsuption!K71*Time!K71</f>
        <v>0</v>
      </c>
      <c r="R71" s="11">
        <f t="shared" si="4"/>
        <v>19.8</v>
      </c>
      <c r="S71" s="29"/>
    </row>
    <row r="72" spans="1:19" x14ac:dyDescent="0.2">
      <c r="A72" t="s">
        <v>67</v>
      </c>
      <c r="B72">
        <f>Comsuption!B72*Time!B72</f>
        <v>0</v>
      </c>
      <c r="C72">
        <f>Comsuption!C72*Time!C72</f>
        <v>54</v>
      </c>
      <c r="D72">
        <f>Comsuption!D72*Time!D72</f>
        <v>68</v>
      </c>
      <c r="E72">
        <f>Comsuption!E72*Time!E72</f>
        <v>0</v>
      </c>
      <c r="F72">
        <f>Comsuption!F72*Time!F72</f>
        <v>0</v>
      </c>
      <c r="G72">
        <f>Comsuption!G72*Time!G72</f>
        <v>82</v>
      </c>
      <c r="H72">
        <f>Comsuption!H72*Time!H72</f>
        <v>0</v>
      </c>
      <c r="I72">
        <f>Comsuption!I72*Time!I72</f>
        <v>0</v>
      </c>
      <c r="J72">
        <f>Comsuption!J72*Time!J72</f>
        <v>0</v>
      </c>
      <c r="K72">
        <f>Comsuption!K72*Time!K72</f>
        <v>67</v>
      </c>
      <c r="R72" s="12">
        <f t="shared" si="4"/>
        <v>27.1</v>
      </c>
      <c r="S72" s="30"/>
    </row>
    <row r="73" spans="1:19" x14ac:dyDescent="0.2">
      <c r="A73" t="s">
        <v>68</v>
      </c>
      <c r="B73">
        <f>Comsuption!B73*Time!B73</f>
        <v>0</v>
      </c>
      <c r="C73">
        <f>Comsuption!C73*Time!C73</f>
        <v>118</v>
      </c>
      <c r="D73">
        <f>Comsuption!D73*Time!D73</f>
        <v>0</v>
      </c>
      <c r="E73">
        <f>Comsuption!E73*Time!E73</f>
        <v>77</v>
      </c>
      <c r="F73">
        <f>Comsuption!F73*Time!F73</f>
        <v>180</v>
      </c>
      <c r="G73">
        <f>Comsuption!G73*Time!G73</f>
        <v>0</v>
      </c>
      <c r="H73">
        <f>Comsuption!H73*Time!H73</f>
        <v>196</v>
      </c>
      <c r="I73">
        <f>Comsuption!I73*Time!I73</f>
        <v>0</v>
      </c>
      <c r="J73">
        <f>Comsuption!J73*Time!J73</f>
        <v>83</v>
      </c>
      <c r="K73">
        <f>Comsuption!K73*Time!K73</f>
        <v>0</v>
      </c>
      <c r="R73" s="10">
        <f t="shared" si="4"/>
        <v>65.400000000000006</v>
      </c>
      <c r="S73" s="28" t="s">
        <v>58</v>
      </c>
    </row>
    <row r="74" spans="1:19" x14ac:dyDescent="0.2">
      <c r="A74" t="s">
        <v>69</v>
      </c>
      <c r="B74">
        <f>Comsuption!B74*Time!B74</f>
        <v>0</v>
      </c>
      <c r="C74">
        <f>Comsuption!C74*Time!C74</f>
        <v>146</v>
      </c>
      <c r="D74">
        <f>Comsuption!D74*Time!D74</f>
        <v>69</v>
      </c>
      <c r="E74">
        <f>Comsuption!E74*Time!E74</f>
        <v>0</v>
      </c>
      <c r="F74">
        <f>Comsuption!F74*Time!F74</f>
        <v>37</v>
      </c>
      <c r="G74">
        <f>Comsuption!G74*Time!G74</f>
        <v>0</v>
      </c>
      <c r="H74">
        <f>Comsuption!H74*Time!H74</f>
        <v>83</v>
      </c>
      <c r="I74">
        <f>Comsuption!I74*Time!I74</f>
        <v>0</v>
      </c>
      <c r="J74">
        <f>Comsuption!J74*Time!J74</f>
        <v>0</v>
      </c>
      <c r="K74">
        <f>Comsuption!K74*Time!K74</f>
        <v>66</v>
      </c>
      <c r="R74" s="11">
        <f t="shared" si="4"/>
        <v>40.1</v>
      </c>
      <c r="S74" s="29"/>
    </row>
    <row r="75" spans="1:19" x14ac:dyDescent="0.2">
      <c r="A75" t="s">
        <v>70</v>
      </c>
      <c r="B75">
        <f>Comsuption!B75*Time!B75</f>
        <v>0</v>
      </c>
      <c r="C75">
        <f>Comsuption!C75*Time!C75</f>
        <v>207</v>
      </c>
      <c r="D75">
        <f>Comsuption!D75*Time!D75</f>
        <v>0</v>
      </c>
      <c r="E75">
        <f>Comsuption!E75*Time!E75</f>
        <v>69</v>
      </c>
      <c r="F75">
        <f>Comsuption!F75*Time!F75</f>
        <v>0</v>
      </c>
      <c r="G75">
        <f>Comsuption!G75*Time!G75</f>
        <v>81</v>
      </c>
      <c r="H75">
        <f>Comsuption!H75*Time!H75</f>
        <v>0</v>
      </c>
      <c r="I75">
        <f>Comsuption!I75*Time!I75</f>
        <v>54</v>
      </c>
      <c r="J75">
        <f>Comsuption!J75*Time!J75</f>
        <v>57</v>
      </c>
      <c r="K75">
        <f>Comsuption!K75*Time!K75</f>
        <v>0</v>
      </c>
      <c r="R75" s="12">
        <f t="shared" si="4"/>
        <v>46.8</v>
      </c>
      <c r="S75" s="30"/>
    </row>
    <row r="78" spans="1:19" x14ac:dyDescent="0.2">
      <c r="A78" t="s">
        <v>0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/>
      <c r="M78" s="1"/>
      <c r="N78" s="1"/>
      <c r="O78" s="1"/>
      <c r="P78" s="1"/>
      <c r="R78" s="24" t="s">
        <v>51</v>
      </c>
    </row>
    <row r="79" spans="1:19" x14ac:dyDescent="0.2">
      <c r="A79" t="s">
        <v>71</v>
      </c>
      <c r="B79">
        <f>Comsuption!B79*Time!B79</f>
        <v>59</v>
      </c>
      <c r="C79">
        <f>Comsuption!C79*Time!C79</f>
        <v>0</v>
      </c>
      <c r="D79">
        <f>Comsuption!D79*Time!D79</f>
        <v>0</v>
      </c>
      <c r="E79">
        <f>Comsuption!E79*Time!E79</f>
        <v>0</v>
      </c>
      <c r="F79">
        <f>Comsuption!F79*Time!F79</f>
        <v>0</v>
      </c>
      <c r="G79">
        <f>Comsuption!G79*Time!G79</f>
        <v>0</v>
      </c>
      <c r="H79">
        <f>Comsuption!H79*Time!H79</f>
        <v>0</v>
      </c>
      <c r="I79">
        <f>Comsuption!I79*Time!I79</f>
        <v>0</v>
      </c>
      <c r="J79">
        <f>Comsuption!J79*Time!J79</f>
        <v>56</v>
      </c>
      <c r="K79">
        <f>Comsuption!K79*Time!K79</f>
        <v>0</v>
      </c>
      <c r="R79" s="10">
        <f>AVERAGE(B79:Q79)</f>
        <v>11.5</v>
      </c>
      <c r="S79" s="28" t="s">
        <v>54</v>
      </c>
    </row>
    <row r="80" spans="1:19" x14ac:dyDescent="0.2">
      <c r="A80" t="s">
        <v>72</v>
      </c>
      <c r="B80">
        <f>Comsuption!B80*Time!B80</f>
        <v>0</v>
      </c>
      <c r="C80">
        <f>Comsuption!C80*Time!C80</f>
        <v>63</v>
      </c>
      <c r="D80">
        <f>Comsuption!D80*Time!D80</f>
        <v>0</v>
      </c>
      <c r="E80">
        <f>Comsuption!E80*Time!E80</f>
        <v>0</v>
      </c>
      <c r="F80">
        <f>Comsuption!F80*Time!F80</f>
        <v>0</v>
      </c>
      <c r="G80">
        <f>Comsuption!G80*Time!G80</f>
        <v>50</v>
      </c>
      <c r="H80">
        <f>Comsuption!H80*Time!H80</f>
        <v>82</v>
      </c>
      <c r="I80">
        <f>Comsuption!I80*Time!I80</f>
        <v>76</v>
      </c>
      <c r="J80">
        <f>Comsuption!J80*Time!J80</f>
        <v>0</v>
      </c>
      <c r="K80">
        <f>Comsuption!K80*Time!K80</f>
        <v>0</v>
      </c>
      <c r="R80" s="11">
        <f t="shared" ref="R80:R90" si="5">AVERAGE(B80:Q80)</f>
        <v>27.1</v>
      </c>
      <c r="S80" s="29"/>
    </row>
    <row r="81" spans="1:19" x14ac:dyDescent="0.2">
      <c r="A81" t="s">
        <v>73</v>
      </c>
      <c r="B81">
        <f>Comsuption!B81*Time!B81</f>
        <v>77</v>
      </c>
      <c r="C81">
        <f>Comsuption!C81*Time!C81</f>
        <v>83</v>
      </c>
      <c r="D81">
        <f>Comsuption!D81*Time!D81</f>
        <v>61</v>
      </c>
      <c r="E81">
        <f>Comsuption!E81*Time!E81</f>
        <v>47</v>
      </c>
      <c r="F81">
        <f>Comsuption!F81*Time!F81</f>
        <v>93</v>
      </c>
      <c r="G81">
        <f>Comsuption!G81*Time!G81</f>
        <v>0</v>
      </c>
      <c r="H81">
        <f>Comsuption!H81*Time!H81</f>
        <v>0</v>
      </c>
      <c r="I81">
        <f>Comsuption!I81*Time!I81</f>
        <v>0</v>
      </c>
      <c r="J81">
        <f>Comsuption!J81*Time!J81</f>
        <v>66</v>
      </c>
      <c r="K81">
        <f>Comsuption!K81*Time!K81</f>
        <v>0</v>
      </c>
      <c r="R81" s="12">
        <f t="shared" si="5"/>
        <v>42.7</v>
      </c>
      <c r="S81" s="30"/>
    </row>
    <row r="82" spans="1:19" x14ac:dyDescent="0.2">
      <c r="A82" t="s">
        <v>74</v>
      </c>
      <c r="B82">
        <f>Comsuption!B82*Time!B82</f>
        <v>0</v>
      </c>
      <c r="C82">
        <f>Comsuption!C82*Time!C82</f>
        <v>0</v>
      </c>
      <c r="D82">
        <f>Comsuption!D82*Time!D82</f>
        <v>0</v>
      </c>
      <c r="E82">
        <f>Comsuption!E82*Time!E82</f>
        <v>0</v>
      </c>
      <c r="F82">
        <f>Comsuption!F82*Time!F82</f>
        <v>56</v>
      </c>
      <c r="G82">
        <f>Comsuption!G82*Time!G82</f>
        <v>59</v>
      </c>
      <c r="H82">
        <f>Comsuption!H82*Time!H82</f>
        <v>0</v>
      </c>
      <c r="I82">
        <f>Comsuption!I82*Time!I82</f>
        <v>77</v>
      </c>
      <c r="J82">
        <f>Comsuption!J82*Time!J82</f>
        <v>0</v>
      </c>
      <c r="K82">
        <f>Comsuption!K82*Time!K82</f>
        <v>51</v>
      </c>
      <c r="R82" s="10">
        <f t="shared" si="5"/>
        <v>24.3</v>
      </c>
      <c r="S82" s="28" t="s">
        <v>55</v>
      </c>
    </row>
    <row r="83" spans="1:19" x14ac:dyDescent="0.2">
      <c r="A83" t="s">
        <v>75</v>
      </c>
      <c r="B83">
        <f>Comsuption!B83*Time!B83</f>
        <v>122</v>
      </c>
      <c r="C83">
        <f>Comsuption!C83*Time!C83</f>
        <v>57</v>
      </c>
      <c r="D83">
        <f>Comsuption!D83*Time!D83</f>
        <v>81</v>
      </c>
      <c r="E83">
        <f>Comsuption!E83*Time!E83</f>
        <v>70</v>
      </c>
      <c r="F83">
        <f>Comsuption!F83*Time!F83</f>
        <v>180</v>
      </c>
      <c r="G83">
        <f>Comsuption!G83*Time!G83</f>
        <v>0</v>
      </c>
      <c r="H83">
        <f>Comsuption!H83*Time!H83</f>
        <v>77</v>
      </c>
      <c r="I83">
        <f>Comsuption!I83*Time!I83</f>
        <v>0</v>
      </c>
      <c r="J83">
        <f>Comsuption!J83*Time!J83</f>
        <v>91</v>
      </c>
      <c r="K83">
        <f>Comsuption!K83*Time!K83</f>
        <v>76</v>
      </c>
      <c r="R83" s="11">
        <f t="shared" si="5"/>
        <v>75.400000000000006</v>
      </c>
      <c r="S83" s="29"/>
    </row>
    <row r="84" spans="1:19" x14ac:dyDescent="0.2">
      <c r="A84" t="s">
        <v>76</v>
      </c>
      <c r="B84">
        <f>Comsuption!B84*Time!B84</f>
        <v>0</v>
      </c>
      <c r="C84">
        <f>Comsuption!C84*Time!C84</f>
        <v>0</v>
      </c>
      <c r="D84">
        <f>Comsuption!D84*Time!D84</f>
        <v>0</v>
      </c>
      <c r="E84">
        <f>Comsuption!E84*Time!E84</f>
        <v>0</v>
      </c>
      <c r="F84">
        <f>Comsuption!F84*Time!F84</f>
        <v>195</v>
      </c>
      <c r="G84">
        <f>Comsuption!G84*Time!G84</f>
        <v>76</v>
      </c>
      <c r="H84">
        <f>Comsuption!H84*Time!H84</f>
        <v>0</v>
      </c>
      <c r="I84">
        <f>Comsuption!I84*Time!I84</f>
        <v>26</v>
      </c>
      <c r="J84">
        <f>Comsuption!J84*Time!J84</f>
        <v>0</v>
      </c>
      <c r="K84">
        <f>Comsuption!K84*Time!K84</f>
        <v>0</v>
      </c>
      <c r="R84" s="12">
        <f t="shared" si="5"/>
        <v>29.7</v>
      </c>
      <c r="S84" s="30"/>
    </row>
    <row r="85" spans="1:19" x14ac:dyDescent="0.2">
      <c r="A85" t="s">
        <v>77</v>
      </c>
      <c r="B85">
        <f>Comsuption!B85*Time!B85</f>
        <v>0</v>
      </c>
      <c r="C85">
        <f>Comsuption!C85*Time!C85</f>
        <v>46</v>
      </c>
      <c r="D85">
        <f>Comsuption!D85*Time!D85</f>
        <v>43</v>
      </c>
      <c r="E85">
        <f>Comsuption!E85*Time!E85</f>
        <v>0</v>
      </c>
      <c r="F85">
        <f>Comsuption!F85*Time!F85</f>
        <v>136</v>
      </c>
      <c r="G85">
        <f>Comsuption!G85*Time!G85</f>
        <v>0</v>
      </c>
      <c r="H85">
        <f>Comsuption!H85*Time!H85</f>
        <v>0</v>
      </c>
      <c r="I85">
        <f>Comsuption!I85*Time!I85</f>
        <v>63</v>
      </c>
      <c r="J85">
        <f>Comsuption!J85*Time!J85</f>
        <v>76</v>
      </c>
      <c r="K85">
        <f>Comsuption!K85*Time!K85</f>
        <v>0</v>
      </c>
      <c r="R85" s="10">
        <f t="shared" si="5"/>
        <v>36.4</v>
      </c>
      <c r="S85" s="28" t="s">
        <v>57</v>
      </c>
    </row>
    <row r="86" spans="1:19" x14ac:dyDescent="0.2">
      <c r="A86" t="s">
        <v>78</v>
      </c>
      <c r="B86">
        <f>Comsuption!B86*Time!B86</f>
        <v>68</v>
      </c>
      <c r="C86">
        <f>Comsuption!C86*Time!C86</f>
        <v>0</v>
      </c>
      <c r="D86">
        <f>Comsuption!D86*Time!D86</f>
        <v>0</v>
      </c>
      <c r="E86">
        <f>Comsuption!E86*Time!E86</f>
        <v>60</v>
      </c>
      <c r="F86">
        <f>Comsuption!F86*Time!F86</f>
        <v>66</v>
      </c>
      <c r="G86">
        <f>Comsuption!G86*Time!G86</f>
        <v>73</v>
      </c>
      <c r="H86">
        <f>Comsuption!H86*Time!H86</f>
        <v>73</v>
      </c>
      <c r="I86">
        <f>Comsuption!I86*Time!I86</f>
        <v>0</v>
      </c>
      <c r="J86">
        <f>Comsuption!J86*Time!J86</f>
        <v>0</v>
      </c>
      <c r="K86">
        <f>Comsuption!K86*Time!K86</f>
        <v>41</v>
      </c>
      <c r="R86" s="11">
        <f t="shared" si="5"/>
        <v>38.1</v>
      </c>
      <c r="S86" s="29"/>
    </row>
    <row r="87" spans="1:19" x14ac:dyDescent="0.2">
      <c r="A87" t="s">
        <v>79</v>
      </c>
      <c r="B87">
        <f>Comsuption!B87*Time!B87</f>
        <v>27</v>
      </c>
      <c r="C87">
        <f>Comsuption!C87*Time!C87</f>
        <v>64</v>
      </c>
      <c r="D87">
        <f>Comsuption!D87*Time!D87</f>
        <v>41</v>
      </c>
      <c r="E87">
        <f>Comsuption!E87*Time!E87</f>
        <v>0</v>
      </c>
      <c r="F87">
        <f>Comsuption!F87*Time!F87</f>
        <v>315</v>
      </c>
      <c r="G87">
        <f>Comsuption!G87*Time!G87</f>
        <v>79</v>
      </c>
      <c r="H87">
        <f>Comsuption!H87*Time!H87</f>
        <v>0</v>
      </c>
      <c r="I87">
        <f>Comsuption!I87*Time!I87</f>
        <v>0</v>
      </c>
      <c r="J87">
        <f>Comsuption!J87*Time!J87</f>
        <v>54</v>
      </c>
      <c r="K87">
        <f>Comsuption!K87*Time!K87</f>
        <v>90</v>
      </c>
      <c r="R87" s="12">
        <f t="shared" si="5"/>
        <v>67</v>
      </c>
      <c r="S87" s="30"/>
    </row>
    <row r="88" spans="1:19" x14ac:dyDescent="0.2">
      <c r="A88" t="s">
        <v>80</v>
      </c>
      <c r="B88">
        <f>Comsuption!B88*Time!B88</f>
        <v>44</v>
      </c>
      <c r="C88">
        <f>Comsuption!C88*Time!C88</f>
        <v>93</v>
      </c>
      <c r="D88">
        <f>Comsuption!D88*Time!D88</f>
        <v>180</v>
      </c>
      <c r="E88">
        <f>Comsuption!E88*Time!E88</f>
        <v>0</v>
      </c>
      <c r="F88">
        <f>Comsuption!F88*Time!F88</f>
        <v>110</v>
      </c>
      <c r="G88">
        <f>Comsuption!G88*Time!G88</f>
        <v>0</v>
      </c>
      <c r="H88">
        <f>Comsuption!H88*Time!H88</f>
        <v>0</v>
      </c>
      <c r="I88">
        <f>Comsuption!I88*Time!I88</f>
        <v>66</v>
      </c>
      <c r="J88">
        <f>Comsuption!J88*Time!J88</f>
        <v>36</v>
      </c>
      <c r="K88">
        <f>Comsuption!K88*Time!K88</f>
        <v>67</v>
      </c>
      <c r="R88" s="10">
        <f t="shared" si="5"/>
        <v>59.6</v>
      </c>
      <c r="S88" s="28" t="s">
        <v>58</v>
      </c>
    </row>
    <row r="89" spans="1:19" x14ac:dyDescent="0.2">
      <c r="A89" t="s">
        <v>81</v>
      </c>
      <c r="B89">
        <f>Comsuption!B89*Time!B89</f>
        <v>0</v>
      </c>
      <c r="C89">
        <f>Comsuption!C89*Time!C89</f>
        <v>44</v>
      </c>
      <c r="D89">
        <f>Comsuption!D89*Time!D89</f>
        <v>0</v>
      </c>
      <c r="E89">
        <f>Comsuption!E89*Time!E89</f>
        <v>82</v>
      </c>
      <c r="F89">
        <f>Comsuption!F89*Time!F89</f>
        <v>56</v>
      </c>
      <c r="G89">
        <f>Comsuption!G89*Time!G89</f>
        <v>0</v>
      </c>
      <c r="H89">
        <f>Comsuption!H89*Time!H89</f>
        <v>0</v>
      </c>
      <c r="I89">
        <f>Comsuption!I89*Time!I89</f>
        <v>0</v>
      </c>
      <c r="J89">
        <f>Comsuption!J89*Time!J89</f>
        <v>78</v>
      </c>
      <c r="K89">
        <f>Comsuption!K89*Time!K89</f>
        <v>71</v>
      </c>
      <c r="R89" s="11">
        <f t="shared" si="5"/>
        <v>33.1</v>
      </c>
      <c r="S89" s="29"/>
    </row>
    <row r="90" spans="1:19" x14ac:dyDescent="0.2">
      <c r="A90" t="s">
        <v>82</v>
      </c>
      <c r="B90">
        <f>Comsuption!B90*Time!B90</f>
        <v>105</v>
      </c>
      <c r="C90">
        <f>Comsuption!C90*Time!C90</f>
        <v>62</v>
      </c>
      <c r="D90">
        <f>Comsuption!D90*Time!D90</f>
        <v>64</v>
      </c>
      <c r="E90">
        <f>Comsuption!E90*Time!E90</f>
        <v>0</v>
      </c>
      <c r="F90">
        <f>Comsuption!F90*Time!F90</f>
        <v>96</v>
      </c>
      <c r="G90">
        <f>Comsuption!G90*Time!G90</f>
        <v>83</v>
      </c>
      <c r="H90">
        <f>Comsuption!H90*Time!H90</f>
        <v>63</v>
      </c>
      <c r="I90">
        <f>Comsuption!I90*Time!I90</f>
        <v>67</v>
      </c>
      <c r="J90">
        <f>Comsuption!J90*Time!J90</f>
        <v>76</v>
      </c>
      <c r="K90">
        <f>Comsuption!K90*Time!K90</f>
        <v>66</v>
      </c>
      <c r="R90" s="12">
        <f t="shared" si="5"/>
        <v>68.2</v>
      </c>
      <c r="S90" s="30"/>
    </row>
  </sheetData>
  <mergeCells count="60">
    <mergeCell ref="S79:S81"/>
    <mergeCell ref="S82:S84"/>
    <mergeCell ref="S85:S87"/>
    <mergeCell ref="S88:S90"/>
    <mergeCell ref="S54:S56"/>
    <mergeCell ref="S57:S59"/>
    <mergeCell ref="S64:S66"/>
    <mergeCell ref="S67:S69"/>
    <mergeCell ref="S70:S72"/>
    <mergeCell ref="S73:S75"/>
    <mergeCell ref="S33:S35"/>
    <mergeCell ref="S36:S38"/>
    <mergeCell ref="S39:S41"/>
    <mergeCell ref="S42:S44"/>
    <mergeCell ref="S48:S50"/>
    <mergeCell ref="S51:S53"/>
    <mergeCell ref="S26:S28"/>
    <mergeCell ref="W27:W28"/>
    <mergeCell ref="AD27:AD28"/>
    <mergeCell ref="S23:S25"/>
    <mergeCell ref="W23:W24"/>
    <mergeCell ref="AD23:AD24"/>
    <mergeCell ref="V25:V28"/>
    <mergeCell ref="W25:W26"/>
    <mergeCell ref="AC25:AC28"/>
    <mergeCell ref="AD25:AD26"/>
    <mergeCell ref="W19:W20"/>
    <mergeCell ref="AD19:AD20"/>
    <mergeCell ref="S20:S22"/>
    <mergeCell ref="V21:V24"/>
    <mergeCell ref="W21:W22"/>
    <mergeCell ref="AC21:AC24"/>
    <mergeCell ref="AD21:AD22"/>
    <mergeCell ref="S11:S13"/>
    <mergeCell ref="W12:W13"/>
    <mergeCell ref="AD12:AD13"/>
    <mergeCell ref="S17:S19"/>
    <mergeCell ref="V17:V20"/>
    <mergeCell ref="W17:W18"/>
    <mergeCell ref="AC17:AC20"/>
    <mergeCell ref="AD17:AD18"/>
    <mergeCell ref="S8:S10"/>
    <mergeCell ref="W8:W9"/>
    <mergeCell ref="AD8:AD9"/>
    <mergeCell ref="V10:V13"/>
    <mergeCell ref="W10:W11"/>
    <mergeCell ref="AC10:AC13"/>
    <mergeCell ref="AD10:AD11"/>
    <mergeCell ref="W4:W5"/>
    <mergeCell ref="AD4:AD5"/>
    <mergeCell ref="S5:S7"/>
    <mergeCell ref="V6:V9"/>
    <mergeCell ref="W6:W7"/>
    <mergeCell ref="AC6:AC9"/>
    <mergeCell ref="AD6:AD7"/>
    <mergeCell ref="S2:S4"/>
    <mergeCell ref="V2:V5"/>
    <mergeCell ref="W2:W3"/>
    <mergeCell ref="AC2:AC5"/>
    <mergeCell ref="AD2:AD3"/>
  </mergeCells>
  <pageMargins left="0" right="0" top="0" bottom="0" header="0" footer="0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K14" sqref="K14"/>
    </sheetView>
  </sheetViews>
  <sheetFormatPr baseColWidth="10" defaultRowHeight="16" x14ac:dyDescent="0.2"/>
  <sheetData>
    <row r="1" spans="1:13" x14ac:dyDescent="0.2">
      <c r="A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M1" s="4" t="s">
        <v>51</v>
      </c>
    </row>
    <row r="2" spans="1:13" x14ac:dyDescent="0.2">
      <c r="A2" t="s">
        <v>87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s="9">
        <f>AVERAGE(B2:L2)</f>
        <v>0.1</v>
      </c>
    </row>
    <row r="3" spans="1:13" x14ac:dyDescent="0.2">
      <c r="M3" s="5"/>
    </row>
    <row r="4" spans="1:13" x14ac:dyDescent="0.2">
      <c r="A4" t="s">
        <v>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M4" s="4" t="s">
        <v>51</v>
      </c>
    </row>
    <row r="5" spans="1:13" x14ac:dyDescent="0.2">
      <c r="A5" t="s">
        <v>88</v>
      </c>
      <c r="B5">
        <v>4</v>
      </c>
      <c r="C5">
        <v>4</v>
      </c>
      <c r="D5">
        <v>1</v>
      </c>
      <c r="E5">
        <v>1</v>
      </c>
      <c r="F5">
        <v>1</v>
      </c>
      <c r="G5">
        <v>1</v>
      </c>
      <c r="H5">
        <v>3</v>
      </c>
      <c r="I5">
        <v>2</v>
      </c>
      <c r="J5">
        <v>1</v>
      </c>
      <c r="K5">
        <v>1</v>
      </c>
      <c r="M5" s="9">
        <f>AVERAGE(B5:L5)</f>
        <v>1.9</v>
      </c>
    </row>
    <row r="7" spans="1:13" x14ac:dyDescent="0.2">
      <c r="A7" s="3">
        <v>100</v>
      </c>
    </row>
    <row r="9" spans="1:13" x14ac:dyDescent="0.2">
      <c r="A9" t="s">
        <v>0</v>
      </c>
      <c r="B9" s="1" t="s">
        <v>2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  <c r="M9" s="4" t="s">
        <v>51</v>
      </c>
    </row>
    <row r="10" spans="1:13" x14ac:dyDescent="0.2">
      <c r="A10" t="s">
        <v>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M10" s="9">
        <f>AVERAGE(B10:L10)</f>
        <v>0.2</v>
      </c>
    </row>
    <row r="11" spans="1:13" x14ac:dyDescent="0.2">
      <c r="M11" s="5"/>
    </row>
    <row r="12" spans="1:13" x14ac:dyDescent="0.2">
      <c r="A12" t="s">
        <v>0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  <c r="M12" s="4" t="s">
        <v>51</v>
      </c>
    </row>
    <row r="13" spans="1:13" x14ac:dyDescent="0.2">
      <c r="A13" t="s">
        <v>90</v>
      </c>
      <c r="B13">
        <v>2</v>
      </c>
      <c r="C13">
        <v>1</v>
      </c>
      <c r="D13">
        <v>2</v>
      </c>
      <c r="E13">
        <v>1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M13" s="9">
        <f>AVERAGE(B13:L13)</f>
        <v>1.8</v>
      </c>
    </row>
    <row r="15" spans="1:13" x14ac:dyDescent="0.2">
      <c r="A15" s="20"/>
    </row>
    <row r="17" spans="2:13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M17" s="4"/>
    </row>
    <row r="18" spans="2:13" x14ac:dyDescent="0.2">
      <c r="M18" s="9"/>
    </row>
    <row r="19" spans="2:13" x14ac:dyDescent="0.2">
      <c r="M19" s="5"/>
    </row>
    <row r="20" spans="2:13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M20" s="4"/>
    </row>
    <row r="21" spans="2:13" x14ac:dyDescent="0.2">
      <c r="M21" s="9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1"/>
  <sheetViews>
    <sheetView topLeftCell="L1" workbookViewId="0">
      <selection activeCell="V14" sqref="V14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M1" s="4" t="s">
        <v>51</v>
      </c>
      <c r="O1" s="16" t="s">
        <v>93</v>
      </c>
      <c r="P1" s="4" t="s">
        <v>91</v>
      </c>
      <c r="Q1" s="4" t="s">
        <v>92</v>
      </c>
      <c r="T1" s="16" t="s">
        <v>93</v>
      </c>
      <c r="U1" s="4" t="s">
        <v>91</v>
      </c>
      <c r="V1" s="4" t="s">
        <v>97</v>
      </c>
      <c r="Z1" s="31" t="s">
        <v>93</v>
      </c>
      <c r="AA1" s="31"/>
      <c r="AB1" s="31" t="s">
        <v>94</v>
      </c>
      <c r="AC1" s="31"/>
    </row>
    <row r="2" spans="1:29" x14ac:dyDescent="0.2">
      <c r="A2" t="s">
        <v>87</v>
      </c>
      <c r="B2">
        <v>84</v>
      </c>
      <c r="C2">
        <v>49</v>
      </c>
      <c r="D2">
        <v>46</v>
      </c>
      <c r="E2">
        <v>79</v>
      </c>
      <c r="F2">
        <v>77</v>
      </c>
      <c r="G2">
        <v>42</v>
      </c>
      <c r="H2">
        <v>56</v>
      </c>
      <c r="I2">
        <v>46</v>
      </c>
      <c r="J2">
        <v>49</v>
      </c>
      <c r="K2">
        <v>62</v>
      </c>
      <c r="M2" s="9">
        <f>AVERAGE(B2:L2)</f>
        <v>59</v>
      </c>
      <c r="O2" s="1">
        <v>10</v>
      </c>
      <c r="P2" s="19">
        <f>M2</f>
        <v>59</v>
      </c>
      <c r="Q2" s="19">
        <f>Consumption_RSA!M2</f>
        <v>0.1</v>
      </c>
      <c r="T2" s="1">
        <v>10</v>
      </c>
      <c r="U2" s="19">
        <v>59</v>
      </c>
      <c r="V2" s="19">
        <f>Q2*P2</f>
        <v>5.9</v>
      </c>
      <c r="Y2" s="1" t="s">
        <v>100</v>
      </c>
      <c r="Z2" s="4" t="s">
        <v>98</v>
      </c>
      <c r="AA2" s="4" t="s">
        <v>99</v>
      </c>
      <c r="AB2" s="4" t="s">
        <v>98</v>
      </c>
      <c r="AC2" s="4" t="s">
        <v>99</v>
      </c>
    </row>
    <row r="3" spans="1:29" x14ac:dyDescent="0.2">
      <c r="M3" s="5"/>
      <c r="O3" s="1">
        <v>100</v>
      </c>
      <c r="P3" s="19">
        <f>M10</f>
        <v>53.6</v>
      </c>
      <c r="Q3" s="19">
        <f>Consumption_RSA!M10</f>
        <v>0.2</v>
      </c>
      <c r="T3" s="1">
        <v>100</v>
      </c>
      <c r="U3" s="19">
        <v>53.6</v>
      </c>
      <c r="V3" s="19">
        <f>Q3*P3</f>
        <v>10.72</v>
      </c>
      <c r="Y3" s="16">
        <v>10</v>
      </c>
      <c r="Z3" s="21">
        <v>59</v>
      </c>
      <c r="AA3" s="21">
        <v>5.9</v>
      </c>
      <c r="AB3" s="21">
        <v>76.099999999999994</v>
      </c>
      <c r="AC3" s="21">
        <v>144.58999999999997</v>
      </c>
    </row>
    <row r="4" spans="1:29" x14ac:dyDescent="0.2">
      <c r="A4" s="1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M4" s="4" t="s">
        <v>51</v>
      </c>
      <c r="P4" s="6"/>
      <c r="Q4" s="6"/>
      <c r="Y4" s="16">
        <v>100</v>
      </c>
      <c r="Z4" s="21">
        <v>53.6</v>
      </c>
      <c r="AA4" s="21">
        <v>10.72</v>
      </c>
      <c r="AB4" s="21">
        <v>77.2</v>
      </c>
      <c r="AC4" s="21">
        <v>138.96</v>
      </c>
    </row>
    <row r="5" spans="1:29" x14ac:dyDescent="0.2">
      <c r="A5" t="s">
        <v>88</v>
      </c>
      <c r="B5">
        <v>94</v>
      </c>
      <c r="C5">
        <v>81</v>
      </c>
      <c r="D5">
        <v>65</v>
      </c>
      <c r="E5">
        <v>69</v>
      </c>
      <c r="F5">
        <v>73</v>
      </c>
      <c r="G5">
        <v>65</v>
      </c>
      <c r="H5">
        <v>85</v>
      </c>
      <c r="I5">
        <v>84</v>
      </c>
      <c r="J5">
        <v>82</v>
      </c>
      <c r="K5">
        <v>63</v>
      </c>
      <c r="M5" s="9">
        <f>AVERAGE(B5:L5)</f>
        <v>76.099999999999994</v>
      </c>
      <c r="P5" s="6"/>
      <c r="Q5" s="6"/>
    </row>
    <row r="6" spans="1:29" x14ac:dyDescent="0.2">
      <c r="O6" s="16" t="s">
        <v>94</v>
      </c>
      <c r="P6" s="6"/>
      <c r="Q6" s="6"/>
      <c r="T6" s="16" t="s">
        <v>94</v>
      </c>
    </row>
    <row r="7" spans="1:29" x14ac:dyDescent="0.2">
      <c r="A7" s="3">
        <v>100</v>
      </c>
      <c r="O7" s="1">
        <v>10</v>
      </c>
      <c r="P7" s="19">
        <f>M5</f>
        <v>76.099999999999994</v>
      </c>
      <c r="Q7" s="19">
        <f>Consumption_RSA!M5</f>
        <v>1.9</v>
      </c>
      <c r="T7" s="1">
        <v>10</v>
      </c>
      <c r="U7" s="21">
        <v>76.099999999999994</v>
      </c>
      <c r="V7" s="21">
        <f>Q7*P7</f>
        <v>144.58999999999997</v>
      </c>
    </row>
    <row r="8" spans="1:29" x14ac:dyDescent="0.2">
      <c r="O8" s="1">
        <v>100</v>
      </c>
      <c r="P8" s="19">
        <f>M13</f>
        <v>77.2</v>
      </c>
      <c r="Q8" s="19">
        <f>Consumption_RSA!M13</f>
        <v>1.8</v>
      </c>
      <c r="T8" s="1">
        <v>100</v>
      </c>
      <c r="U8" s="21">
        <v>77.2</v>
      </c>
      <c r="V8" s="21">
        <f>Q8*P8</f>
        <v>138.96</v>
      </c>
    </row>
    <row r="9" spans="1:29" x14ac:dyDescent="0.2">
      <c r="A9" s="1" t="s">
        <v>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M9" s="4" t="s">
        <v>51</v>
      </c>
    </row>
    <row r="10" spans="1:29" x14ac:dyDescent="0.2">
      <c r="A10" t="s">
        <v>89</v>
      </c>
      <c r="B10">
        <v>63</v>
      </c>
      <c r="C10">
        <v>56</v>
      </c>
      <c r="D10">
        <v>44</v>
      </c>
      <c r="E10">
        <v>49</v>
      </c>
      <c r="F10">
        <v>48</v>
      </c>
      <c r="G10">
        <v>69</v>
      </c>
      <c r="H10">
        <v>62</v>
      </c>
      <c r="I10">
        <v>47</v>
      </c>
      <c r="J10">
        <v>49</v>
      </c>
      <c r="K10">
        <v>49</v>
      </c>
      <c r="M10" s="9">
        <f>AVERAGE(B10:L10)</f>
        <v>53.6</v>
      </c>
      <c r="Q10" t="s">
        <v>86</v>
      </c>
      <c r="T10" t="s">
        <v>96</v>
      </c>
    </row>
    <row r="11" spans="1:29" x14ac:dyDescent="0.2">
      <c r="M11" s="5"/>
    </row>
    <row r="12" spans="1:29" x14ac:dyDescent="0.2">
      <c r="A12" s="1" t="s">
        <v>0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M12" s="4" t="s">
        <v>51</v>
      </c>
    </row>
    <row r="13" spans="1:29" x14ac:dyDescent="0.2">
      <c r="A13" t="s">
        <v>90</v>
      </c>
      <c r="B13">
        <v>68</v>
      </c>
      <c r="C13">
        <v>58</v>
      </c>
      <c r="D13">
        <v>64</v>
      </c>
      <c r="E13">
        <v>64</v>
      </c>
      <c r="F13">
        <v>133</v>
      </c>
      <c r="G13">
        <v>72</v>
      </c>
      <c r="H13">
        <v>70</v>
      </c>
      <c r="I13">
        <v>102</v>
      </c>
      <c r="J13">
        <v>74</v>
      </c>
      <c r="K13">
        <v>67</v>
      </c>
      <c r="M13" s="5">
        <f>AVERAGE(B13:L13)</f>
        <v>77.2</v>
      </c>
    </row>
    <row r="15" spans="1:29" x14ac:dyDescent="0.2">
      <c r="A15" s="20"/>
    </row>
    <row r="17" spans="1:1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M17" s="4"/>
    </row>
    <row r="18" spans="1:13" x14ac:dyDescent="0.2">
      <c r="M18" s="9"/>
    </row>
    <row r="19" spans="1:13" x14ac:dyDescent="0.2">
      <c r="M19" s="5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M20" s="4"/>
    </row>
    <row r="21" spans="1:13" x14ac:dyDescent="0.2">
      <c r="M21" s="9"/>
    </row>
  </sheetData>
  <mergeCells count="2">
    <mergeCell ref="Z1:AA1"/>
    <mergeCell ref="AB1:AC1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selection activeCell="K13" sqref="K13"/>
    </sheetView>
  </sheetViews>
  <sheetFormatPr baseColWidth="10" defaultRowHeight="16" x14ac:dyDescent="0.2"/>
  <cols>
    <col min="1" max="1" width="23.5" customWidth="1"/>
  </cols>
  <sheetData>
    <row r="1" spans="1:11" x14ac:dyDescent="0.2">
      <c r="A1" s="2">
        <v>10</v>
      </c>
      <c r="D1" s="2">
        <v>100</v>
      </c>
      <c r="G1" s="2">
        <v>1000</v>
      </c>
      <c r="J1" s="2">
        <v>2000</v>
      </c>
    </row>
    <row r="2" spans="1:11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">
      <c r="A3" t="s">
        <v>103</v>
      </c>
      <c r="B3">
        <v>1161</v>
      </c>
      <c r="D3" t="s">
        <v>113</v>
      </c>
      <c r="E3">
        <v>72</v>
      </c>
      <c r="G3" t="s">
        <v>123</v>
      </c>
      <c r="H3">
        <v>162</v>
      </c>
      <c r="J3" t="s">
        <v>133</v>
      </c>
      <c r="K3">
        <v>63</v>
      </c>
    </row>
    <row r="4" spans="1:11" x14ac:dyDescent="0.2">
      <c r="A4" t="s">
        <v>104</v>
      </c>
      <c r="B4">
        <v>142</v>
      </c>
      <c r="D4" t="s">
        <v>114</v>
      </c>
      <c r="E4">
        <v>174</v>
      </c>
      <c r="G4" t="s">
        <v>124</v>
      </c>
      <c r="H4">
        <v>161</v>
      </c>
      <c r="J4" t="s">
        <v>134</v>
      </c>
      <c r="K4">
        <v>189</v>
      </c>
    </row>
    <row r="5" spans="1:11" x14ac:dyDescent="0.2">
      <c r="A5" t="s">
        <v>105</v>
      </c>
      <c r="B5">
        <v>180</v>
      </c>
      <c r="D5" t="s">
        <v>115</v>
      </c>
      <c r="E5">
        <v>140</v>
      </c>
      <c r="G5" t="s">
        <v>125</v>
      </c>
      <c r="H5">
        <v>54</v>
      </c>
      <c r="J5" t="s">
        <v>135</v>
      </c>
      <c r="K5">
        <v>81</v>
      </c>
    </row>
    <row r="6" spans="1:11" x14ac:dyDescent="0.2">
      <c r="A6" t="s">
        <v>106</v>
      </c>
      <c r="B6">
        <v>125</v>
      </c>
      <c r="D6" t="s">
        <v>116</v>
      </c>
      <c r="E6">
        <v>105</v>
      </c>
      <c r="G6" t="s">
        <v>126</v>
      </c>
      <c r="H6">
        <v>66</v>
      </c>
      <c r="J6" t="s">
        <v>136</v>
      </c>
      <c r="K6">
        <v>160</v>
      </c>
    </row>
    <row r="7" spans="1:11" x14ac:dyDescent="0.2">
      <c r="A7" t="s">
        <v>107</v>
      </c>
      <c r="B7">
        <v>124</v>
      </c>
      <c r="D7" t="s">
        <v>117</v>
      </c>
      <c r="E7">
        <v>174</v>
      </c>
      <c r="G7" t="s">
        <v>127</v>
      </c>
      <c r="H7">
        <v>151</v>
      </c>
      <c r="J7" t="s">
        <v>137</v>
      </c>
      <c r="K7">
        <v>42</v>
      </c>
    </row>
    <row r="8" spans="1:11" x14ac:dyDescent="0.2">
      <c r="A8" t="s">
        <v>108</v>
      </c>
      <c r="B8">
        <v>103</v>
      </c>
      <c r="D8" t="s">
        <v>118</v>
      </c>
      <c r="E8">
        <v>154</v>
      </c>
      <c r="G8" t="s">
        <v>128</v>
      </c>
      <c r="H8">
        <v>106</v>
      </c>
      <c r="J8" t="s">
        <v>138</v>
      </c>
      <c r="K8">
        <v>175</v>
      </c>
    </row>
    <row r="9" spans="1:11" x14ac:dyDescent="0.2">
      <c r="A9" t="s">
        <v>109</v>
      </c>
      <c r="B9">
        <v>71</v>
      </c>
      <c r="D9" t="s">
        <v>119</v>
      </c>
      <c r="E9">
        <v>202</v>
      </c>
      <c r="G9" t="s">
        <v>129</v>
      </c>
      <c r="H9">
        <v>96</v>
      </c>
      <c r="J9" t="s">
        <v>139</v>
      </c>
      <c r="K9">
        <v>69</v>
      </c>
    </row>
    <row r="10" spans="1:11" x14ac:dyDescent="0.2">
      <c r="A10" t="s">
        <v>110</v>
      </c>
      <c r="B10">
        <v>140</v>
      </c>
      <c r="D10" t="s">
        <v>120</v>
      </c>
      <c r="E10">
        <v>155</v>
      </c>
      <c r="G10" t="s">
        <v>130</v>
      </c>
      <c r="H10">
        <v>170</v>
      </c>
      <c r="J10" t="s">
        <v>140</v>
      </c>
      <c r="K10">
        <v>159</v>
      </c>
    </row>
    <row r="11" spans="1:11" x14ac:dyDescent="0.2">
      <c r="A11" t="s">
        <v>111</v>
      </c>
      <c r="B11">
        <v>166</v>
      </c>
      <c r="D11" t="s">
        <v>121</v>
      </c>
      <c r="E11">
        <v>60</v>
      </c>
      <c r="G11" t="s">
        <v>131</v>
      </c>
      <c r="H11">
        <v>152</v>
      </c>
      <c r="J11" t="s">
        <v>141</v>
      </c>
      <c r="K11">
        <v>179</v>
      </c>
    </row>
    <row r="12" spans="1:11" x14ac:dyDescent="0.2">
      <c r="A12" t="s">
        <v>112</v>
      </c>
      <c r="B12">
        <v>150</v>
      </c>
      <c r="D12" t="s">
        <v>122</v>
      </c>
      <c r="E12">
        <v>169</v>
      </c>
      <c r="G12" t="s">
        <v>132</v>
      </c>
      <c r="H12">
        <v>178</v>
      </c>
      <c r="J12" t="s">
        <v>142</v>
      </c>
      <c r="K12">
        <v>161</v>
      </c>
    </row>
    <row r="15" spans="1:11" x14ac:dyDescent="0.2">
      <c r="A15" s="1" t="s">
        <v>51</v>
      </c>
      <c r="B15" s="21">
        <f>AVERAGE(B4:B12)</f>
        <v>133.44444444444446</v>
      </c>
      <c r="D15" s="1" t="s">
        <v>51</v>
      </c>
      <c r="E15" s="21">
        <f>AVERAGE(E3:E12)</f>
        <v>140.5</v>
      </c>
      <c r="G15" s="1" t="s">
        <v>51</v>
      </c>
      <c r="H15" s="21">
        <f>AVERAGE(H3:H12)</f>
        <v>129.6</v>
      </c>
      <c r="J15" s="1" t="s">
        <v>51</v>
      </c>
      <c r="K15" s="21">
        <f>AVERAGE(K3:K12)</f>
        <v>127.8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3"/>
  <sheetViews>
    <sheetView workbookViewId="0">
      <selection activeCell="G19" sqref="G19:I23"/>
    </sheetView>
  </sheetViews>
  <sheetFormatPr baseColWidth="10" defaultRowHeight="16" x14ac:dyDescent="0.2"/>
  <cols>
    <col min="1" max="1" width="21.6640625" customWidth="1"/>
  </cols>
  <sheetData>
    <row r="1" spans="1:19" x14ac:dyDescent="0.2">
      <c r="A1" s="2">
        <v>10</v>
      </c>
      <c r="F1" s="2">
        <v>100</v>
      </c>
      <c r="K1" s="2">
        <v>1000</v>
      </c>
      <c r="P1" s="2">
        <v>2000</v>
      </c>
    </row>
    <row r="2" spans="1:19" x14ac:dyDescent="0.2">
      <c r="A2" t="s">
        <v>0</v>
      </c>
      <c r="B2" t="s">
        <v>102</v>
      </c>
      <c r="C2" t="s">
        <v>101</v>
      </c>
      <c r="F2" t="s">
        <v>0</v>
      </c>
      <c r="G2" t="s">
        <v>102</v>
      </c>
      <c r="H2" t="s">
        <v>101</v>
      </c>
      <c r="K2" t="s">
        <v>0</v>
      </c>
      <c r="L2" t="s">
        <v>102</v>
      </c>
      <c r="M2" t="s">
        <v>101</v>
      </c>
      <c r="P2" t="s">
        <v>0</v>
      </c>
      <c r="Q2" t="s">
        <v>102</v>
      </c>
      <c r="R2" t="s">
        <v>101</v>
      </c>
    </row>
    <row r="3" spans="1:19" x14ac:dyDescent="0.2">
      <c r="A3" t="s">
        <v>103</v>
      </c>
      <c r="B3">
        <v>1</v>
      </c>
      <c r="C3">
        <f>34</f>
        <v>34</v>
      </c>
      <c r="D3" s="1">
        <f t="shared" ref="D3:D12" si="0">C3+B3</f>
        <v>35</v>
      </c>
      <c r="F3" t="s">
        <v>113</v>
      </c>
      <c r="G3">
        <v>0</v>
      </c>
      <c r="H3">
        <v>34</v>
      </c>
      <c r="I3">
        <f>H3+G3</f>
        <v>34</v>
      </c>
      <c r="K3" t="s">
        <v>123</v>
      </c>
      <c r="L3">
        <v>0</v>
      </c>
      <c r="M3">
        <v>34</v>
      </c>
      <c r="N3">
        <f>M3+L3</f>
        <v>34</v>
      </c>
      <c r="P3" t="s">
        <v>133</v>
      </c>
      <c r="Q3">
        <v>0</v>
      </c>
      <c r="R3">
        <v>34</v>
      </c>
      <c r="S3">
        <f>R3+Q3</f>
        <v>34</v>
      </c>
    </row>
    <row r="4" spans="1:19" x14ac:dyDescent="0.2">
      <c r="A4" t="s">
        <v>104</v>
      </c>
      <c r="B4">
        <v>1</v>
      </c>
      <c r="C4">
        <v>34</v>
      </c>
      <c r="D4" s="1">
        <f t="shared" si="0"/>
        <v>35</v>
      </c>
      <c r="F4" t="s">
        <v>114</v>
      </c>
      <c r="G4">
        <v>0</v>
      </c>
      <c r="H4">
        <v>34</v>
      </c>
      <c r="I4">
        <f t="shared" ref="I4:I12" si="1">H4+G4</f>
        <v>34</v>
      </c>
      <c r="K4" t="s">
        <v>124</v>
      </c>
      <c r="L4">
        <v>1</v>
      </c>
      <c r="M4">
        <v>34</v>
      </c>
      <c r="N4">
        <f t="shared" ref="N4:N12" si="2">M4+L4</f>
        <v>35</v>
      </c>
      <c r="P4" t="s">
        <v>134</v>
      </c>
      <c r="Q4">
        <v>0</v>
      </c>
      <c r="R4">
        <v>34</v>
      </c>
      <c r="S4">
        <f t="shared" ref="S4:S12" si="3">R4+Q4</f>
        <v>34</v>
      </c>
    </row>
    <row r="5" spans="1:19" x14ac:dyDescent="0.2">
      <c r="A5" t="s">
        <v>105</v>
      </c>
      <c r="B5">
        <v>0</v>
      </c>
      <c r="C5">
        <v>34</v>
      </c>
      <c r="D5" s="1">
        <f t="shared" si="0"/>
        <v>34</v>
      </c>
      <c r="F5" t="s">
        <v>115</v>
      </c>
      <c r="G5">
        <v>0</v>
      </c>
      <c r="H5">
        <v>34</v>
      </c>
      <c r="I5">
        <f t="shared" si="1"/>
        <v>34</v>
      </c>
      <c r="K5" t="s">
        <v>125</v>
      </c>
      <c r="L5">
        <v>0</v>
      </c>
      <c r="M5">
        <v>34</v>
      </c>
      <c r="N5">
        <f t="shared" si="2"/>
        <v>34</v>
      </c>
      <c r="P5" t="s">
        <v>135</v>
      </c>
      <c r="Q5">
        <v>2</v>
      </c>
      <c r="R5">
        <v>34</v>
      </c>
      <c r="S5">
        <f t="shared" si="3"/>
        <v>36</v>
      </c>
    </row>
    <row r="6" spans="1:19" x14ac:dyDescent="0.2">
      <c r="A6" t="s">
        <v>106</v>
      </c>
      <c r="B6">
        <v>1</v>
      </c>
      <c r="C6">
        <v>34</v>
      </c>
      <c r="D6" s="1">
        <f t="shared" si="0"/>
        <v>35</v>
      </c>
      <c r="F6" t="s">
        <v>116</v>
      </c>
      <c r="G6">
        <v>0</v>
      </c>
      <c r="H6">
        <v>34</v>
      </c>
      <c r="I6">
        <f t="shared" si="1"/>
        <v>34</v>
      </c>
      <c r="K6" t="s">
        <v>126</v>
      </c>
      <c r="L6">
        <v>1</v>
      </c>
      <c r="M6">
        <v>34</v>
      </c>
      <c r="N6">
        <f t="shared" si="2"/>
        <v>35</v>
      </c>
      <c r="P6" t="s">
        <v>136</v>
      </c>
      <c r="Q6">
        <v>0</v>
      </c>
      <c r="R6">
        <v>34</v>
      </c>
      <c r="S6">
        <f t="shared" si="3"/>
        <v>34</v>
      </c>
    </row>
    <row r="7" spans="1:19" x14ac:dyDescent="0.2">
      <c r="A7" t="s">
        <v>107</v>
      </c>
      <c r="B7">
        <v>1</v>
      </c>
      <c r="C7">
        <v>34</v>
      </c>
      <c r="D7" s="1">
        <f t="shared" si="0"/>
        <v>35</v>
      </c>
      <c r="F7" t="s">
        <v>117</v>
      </c>
      <c r="G7">
        <v>1</v>
      </c>
      <c r="H7">
        <v>34</v>
      </c>
      <c r="I7">
        <f t="shared" si="1"/>
        <v>35</v>
      </c>
      <c r="K7" t="s">
        <v>127</v>
      </c>
      <c r="L7">
        <v>0</v>
      </c>
      <c r="M7">
        <v>34</v>
      </c>
      <c r="N7">
        <f t="shared" si="2"/>
        <v>34</v>
      </c>
      <c r="P7" t="s">
        <v>137</v>
      </c>
      <c r="Q7">
        <v>1</v>
      </c>
      <c r="R7">
        <v>34</v>
      </c>
      <c r="S7">
        <f t="shared" si="3"/>
        <v>35</v>
      </c>
    </row>
    <row r="8" spans="1:19" x14ac:dyDescent="0.2">
      <c r="A8" t="s">
        <v>108</v>
      </c>
      <c r="B8">
        <v>1</v>
      </c>
      <c r="C8">
        <v>34</v>
      </c>
      <c r="D8" s="1">
        <f t="shared" si="0"/>
        <v>35</v>
      </c>
      <c r="F8" t="s">
        <v>118</v>
      </c>
      <c r="G8">
        <v>0</v>
      </c>
      <c r="H8">
        <v>34</v>
      </c>
      <c r="I8">
        <f t="shared" si="1"/>
        <v>34</v>
      </c>
      <c r="K8" t="s">
        <v>128</v>
      </c>
      <c r="L8">
        <v>0</v>
      </c>
      <c r="M8">
        <v>34</v>
      </c>
      <c r="N8">
        <f t="shared" si="2"/>
        <v>34</v>
      </c>
      <c r="P8" t="s">
        <v>138</v>
      </c>
      <c r="Q8">
        <v>0</v>
      </c>
      <c r="R8">
        <v>34</v>
      </c>
      <c r="S8">
        <f t="shared" si="3"/>
        <v>34</v>
      </c>
    </row>
    <row r="9" spans="1:19" x14ac:dyDescent="0.2">
      <c r="A9" t="s">
        <v>109</v>
      </c>
      <c r="B9">
        <v>1</v>
      </c>
      <c r="C9">
        <v>34</v>
      </c>
      <c r="D9" s="1">
        <f t="shared" si="0"/>
        <v>35</v>
      </c>
      <c r="F9" t="s">
        <v>119</v>
      </c>
      <c r="G9">
        <v>1</v>
      </c>
      <c r="H9">
        <v>34</v>
      </c>
      <c r="I9">
        <f t="shared" si="1"/>
        <v>35</v>
      </c>
      <c r="K9" t="s">
        <v>129</v>
      </c>
      <c r="L9">
        <v>0</v>
      </c>
      <c r="M9">
        <v>34</v>
      </c>
      <c r="N9">
        <f t="shared" si="2"/>
        <v>34</v>
      </c>
      <c r="P9" t="s">
        <v>139</v>
      </c>
      <c r="Q9">
        <v>1</v>
      </c>
      <c r="R9">
        <v>34</v>
      </c>
      <c r="S9">
        <f t="shared" si="3"/>
        <v>35</v>
      </c>
    </row>
    <row r="10" spans="1:19" x14ac:dyDescent="0.2">
      <c r="A10" t="s">
        <v>110</v>
      </c>
      <c r="B10">
        <v>0</v>
      </c>
      <c r="C10">
        <v>34</v>
      </c>
      <c r="D10" s="1">
        <f t="shared" si="0"/>
        <v>34</v>
      </c>
      <c r="F10" t="s">
        <v>120</v>
      </c>
      <c r="G10">
        <v>0</v>
      </c>
      <c r="H10">
        <v>34</v>
      </c>
      <c r="I10">
        <f t="shared" si="1"/>
        <v>34</v>
      </c>
      <c r="K10" t="s">
        <v>130</v>
      </c>
      <c r="L10">
        <v>0</v>
      </c>
      <c r="M10">
        <v>34</v>
      </c>
      <c r="N10">
        <f t="shared" si="2"/>
        <v>34</v>
      </c>
      <c r="P10" t="s">
        <v>140</v>
      </c>
      <c r="Q10">
        <v>1</v>
      </c>
      <c r="R10">
        <v>34</v>
      </c>
      <c r="S10">
        <f t="shared" si="3"/>
        <v>35</v>
      </c>
    </row>
    <row r="11" spans="1:19" x14ac:dyDescent="0.2">
      <c r="A11" t="s">
        <v>111</v>
      </c>
      <c r="B11">
        <v>0</v>
      </c>
      <c r="C11">
        <v>34</v>
      </c>
      <c r="D11" s="1">
        <f t="shared" si="0"/>
        <v>34</v>
      </c>
      <c r="F11" t="s">
        <v>121</v>
      </c>
      <c r="G11">
        <v>0</v>
      </c>
      <c r="H11">
        <v>34</v>
      </c>
      <c r="I11">
        <f t="shared" si="1"/>
        <v>34</v>
      </c>
      <c r="K11" t="s">
        <v>131</v>
      </c>
      <c r="L11">
        <v>0</v>
      </c>
      <c r="M11">
        <v>34</v>
      </c>
      <c r="N11">
        <f t="shared" si="2"/>
        <v>34</v>
      </c>
      <c r="P11" t="s">
        <v>141</v>
      </c>
      <c r="Q11">
        <v>0</v>
      </c>
      <c r="R11">
        <v>34</v>
      </c>
      <c r="S11">
        <f t="shared" si="3"/>
        <v>34</v>
      </c>
    </row>
    <row r="12" spans="1:19" x14ac:dyDescent="0.2">
      <c r="A12" t="s">
        <v>112</v>
      </c>
      <c r="B12">
        <v>1</v>
      </c>
      <c r="C12">
        <v>34</v>
      </c>
      <c r="D12" s="1">
        <f t="shared" si="0"/>
        <v>35</v>
      </c>
      <c r="F12" t="s">
        <v>122</v>
      </c>
      <c r="G12">
        <v>0</v>
      </c>
      <c r="H12">
        <v>34</v>
      </c>
      <c r="I12">
        <f t="shared" si="1"/>
        <v>34</v>
      </c>
      <c r="K12" t="s">
        <v>132</v>
      </c>
      <c r="L12">
        <v>1</v>
      </c>
      <c r="M12">
        <v>34</v>
      </c>
      <c r="N12">
        <f t="shared" si="2"/>
        <v>35</v>
      </c>
      <c r="P12" t="s">
        <v>142</v>
      </c>
      <c r="Q12">
        <v>0</v>
      </c>
      <c r="R12">
        <v>34</v>
      </c>
      <c r="S12">
        <f t="shared" si="3"/>
        <v>34</v>
      </c>
    </row>
    <row r="15" spans="1:19" x14ac:dyDescent="0.2">
      <c r="C15" s="1" t="s">
        <v>51</v>
      </c>
      <c r="D15" s="1">
        <f>AVERAGE(D3:D12)</f>
        <v>34.700000000000003</v>
      </c>
      <c r="H15" s="1" t="s">
        <v>51</v>
      </c>
      <c r="I15" s="25">
        <f>AVERAGE(I3:I12)</f>
        <v>34.200000000000003</v>
      </c>
      <c r="M15" s="1" t="s">
        <v>51</v>
      </c>
      <c r="N15" s="25">
        <f>AVERAGE(N3:N12)</f>
        <v>34.299999999999997</v>
      </c>
      <c r="R15" s="1" t="s">
        <v>51</v>
      </c>
      <c r="S15" s="25">
        <f>AVERAGE(S3:S12)</f>
        <v>34.5</v>
      </c>
    </row>
    <row r="19" spans="3:9" x14ac:dyDescent="0.2">
      <c r="D19" s="23" t="s">
        <v>98</v>
      </c>
      <c r="E19" s="1" t="s">
        <v>2</v>
      </c>
      <c r="H19" s="23" t="s">
        <v>98</v>
      </c>
      <c r="I19" s="1" t="s">
        <v>143</v>
      </c>
    </row>
    <row r="20" spans="3:9" x14ac:dyDescent="0.2">
      <c r="C20" s="1">
        <v>10</v>
      </c>
      <c r="D20" s="9">
        <f>Time_WIFI!B15</f>
        <v>133.44444444444446</v>
      </c>
      <c r="E20">
        <f>D15</f>
        <v>34.700000000000003</v>
      </c>
      <c r="G20" s="1">
        <v>10</v>
      </c>
      <c r="H20" s="21">
        <v>133.44444444444446</v>
      </c>
      <c r="I20" s="21">
        <f>D20*E20</f>
        <v>4630.5222222222228</v>
      </c>
    </row>
    <row r="21" spans="3:9" x14ac:dyDescent="0.2">
      <c r="C21" s="1">
        <v>100</v>
      </c>
      <c r="D21" s="9">
        <f>Time_WIFI!E15</f>
        <v>140.5</v>
      </c>
      <c r="E21" s="21">
        <f>I15</f>
        <v>34.200000000000003</v>
      </c>
      <c r="G21" s="1">
        <v>100</v>
      </c>
      <c r="H21" s="21">
        <v>140.5</v>
      </c>
      <c r="I21" s="21">
        <f t="shared" ref="I21:I23" si="4">D21*E21</f>
        <v>4805.1000000000004</v>
      </c>
    </row>
    <row r="22" spans="3:9" x14ac:dyDescent="0.2">
      <c r="C22" s="1">
        <v>1000</v>
      </c>
      <c r="D22" s="9">
        <f>Time_WIFI!H15</f>
        <v>129.6</v>
      </c>
      <c r="E22" s="21">
        <f>N15</f>
        <v>34.299999999999997</v>
      </c>
      <c r="G22" s="1">
        <v>1000</v>
      </c>
      <c r="H22" s="21">
        <v>129.6</v>
      </c>
      <c r="I22" s="21">
        <f t="shared" si="4"/>
        <v>4445.28</v>
      </c>
    </row>
    <row r="23" spans="3:9" x14ac:dyDescent="0.2">
      <c r="C23" s="1">
        <v>2000</v>
      </c>
      <c r="D23" s="9">
        <f>Time_WIFI!K15</f>
        <v>127.8</v>
      </c>
      <c r="E23" s="21">
        <f>S15</f>
        <v>34.5</v>
      </c>
      <c r="G23" s="1">
        <v>2000</v>
      </c>
      <c r="H23" s="21">
        <v>127.8</v>
      </c>
      <c r="I23" s="21">
        <f t="shared" si="4"/>
        <v>4409.0999999999995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Comsuption</vt:lpstr>
      <vt:lpstr>Time</vt:lpstr>
      <vt:lpstr>Comsuption (mJ)</vt:lpstr>
      <vt:lpstr>Consumption_RSA</vt:lpstr>
      <vt:lpstr>Time_RSA</vt:lpstr>
      <vt:lpstr>Time_WIFI</vt:lpstr>
      <vt:lpstr>Consumption_WIFI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Montenegro</dc:creator>
  <cp:lastModifiedBy>Jose Antonio Montenegro</cp:lastModifiedBy>
  <dcterms:created xsi:type="dcterms:W3CDTF">2018-03-19T08:04:49Z</dcterms:created>
  <dcterms:modified xsi:type="dcterms:W3CDTF">2018-03-21T10:58:09Z</dcterms:modified>
</cp:coreProperties>
</file>